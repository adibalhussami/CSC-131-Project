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acstate-my.sharepoint.com/personal/asalem_csus_edu/Documents/Desktop/Fall_2026/CSC131/"/>
    </mc:Choice>
  </mc:AlternateContent>
  <xr:revisionPtr revIDLastSave="0" documentId="8_{7A2852AF-A574-4EA4-95B8-C1D73FE7A759}" xr6:coauthVersionLast="47" xr6:coauthVersionMax="47" xr10:uidLastSave="{00000000-0000-0000-0000-000000000000}"/>
  <bookViews>
    <workbookView xWindow="-110" yWindow="-110" windowWidth="24220" windowHeight="15500" xr2:uid="{4D3E8F31-0F30-4DAB-97A6-DB9FE1254949}"/>
  </bookViews>
  <sheets>
    <sheet name="UPDATED" sheetId="3" r:id="rId1"/>
    <sheet name="ORIGINAL" sheetId="4" r:id="rId2"/>
  </sheets>
  <definedNames>
    <definedName name="_xlnm._FilterDatabase" localSheetId="0" hidden="1">UPDATED!$A$5:$N$78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3" l="1"/>
  <c r="G78" i="3"/>
  <c r="C78" i="3"/>
</calcChain>
</file>

<file path=xl/sharedStrings.xml><?xml version="1.0" encoding="utf-8"?>
<sst xmlns="http://schemas.openxmlformats.org/spreadsheetml/2006/main" count="912" uniqueCount="171">
  <si>
    <t xml:space="preserve">SAC STATE - SERVICE LEVELS -  </t>
  </si>
  <si>
    <t xml:space="preserve">RECYCLING </t>
  </si>
  <si>
    <t xml:space="preserve">TRASH </t>
  </si>
  <si>
    <t>ORGANICS</t>
  </si>
  <si>
    <t>QTY</t>
  </si>
  <si>
    <t>SIZE</t>
  </si>
  <si>
    <t>FREQ</t>
  </si>
  <si>
    <t>DAYS SVC</t>
  </si>
  <si>
    <t>!</t>
  </si>
  <si>
    <t>Alpine</t>
  </si>
  <si>
    <t>  </t>
  </si>
  <si>
    <t xml:space="preserve">M/W/F </t>
  </si>
  <si>
    <t>TUE</t>
  </si>
  <si>
    <t>Amador </t>
  </si>
  <si>
    <t>W</t>
  </si>
  <si>
    <t>TH/F</t>
  </si>
  <si>
    <t xml:space="preserve">Arboretum * </t>
  </si>
  <si>
    <t xml:space="preserve">T/TH </t>
  </si>
  <si>
    <t>Art Sculpture Lab </t>
  </si>
  <si>
    <t>T/F</t>
  </si>
  <si>
    <t>Athletic Center (form. Student health)</t>
  </si>
  <si>
    <t xml:space="preserve">T/F </t>
  </si>
  <si>
    <t>Brighton </t>
  </si>
  <si>
    <t>Capistrano </t>
  </si>
  <si>
    <t>Facilities Management </t>
  </si>
  <si>
    <t>Broad Field House (athletics) </t>
  </si>
  <si>
    <t>M/W</t>
  </si>
  <si>
    <t>Kadema/Lassen </t>
  </si>
  <si>
    <t>Mariposa </t>
  </si>
  <si>
    <t>T</t>
  </si>
  <si>
    <t>Mendocino </t>
  </si>
  <si>
    <t>Public Safety (inside fence) </t>
  </si>
  <si>
    <t>Receiving/Mail/Reprographics </t>
  </si>
  <si>
    <t>Riverside Engineering </t>
  </si>
  <si>
    <t>Sacramento </t>
  </si>
  <si>
    <t xml:space="preserve">         W</t>
  </si>
  <si>
    <t>Shasta Hall </t>
  </si>
  <si>
    <t>Sequoia </t>
  </si>
  <si>
    <t>Tahoe Hall </t>
  </si>
  <si>
    <t>Tschannen Science Complex</t>
  </si>
  <si>
    <t>Alumni Center Temp</t>
  </si>
  <si>
    <t>64/1 6yd</t>
  </si>
  <si>
    <t xml:space="preserve">Aquatic Center </t>
  </si>
  <si>
    <t>TH</t>
  </si>
  <si>
    <t>M/F</t>
  </si>
  <si>
    <t>ARBORETUM TEMP</t>
  </si>
  <si>
    <t>T/TH</t>
  </si>
  <si>
    <t>ASSOC STUDENT/CHIL</t>
  </si>
  <si>
    <t>FR</t>
  </si>
  <si>
    <t>BAC YARD</t>
  </si>
  <si>
    <t>BASKETBALL FACILIT</t>
  </si>
  <si>
    <t>M</t>
  </si>
  <si>
    <t>BOOKSTORE</t>
  </si>
  <si>
    <t>M/W/F</t>
  </si>
  <si>
    <t>BOOKSTORE RO</t>
  </si>
  <si>
    <t xml:space="preserve">BSE ENG CENTRAL </t>
  </si>
  <si>
    <t>DINING COMMONS</t>
  </si>
  <si>
    <t>DINING COMMONS RO</t>
  </si>
  <si>
    <t>DOWNTOWN CAMPUS</t>
  </si>
  <si>
    <t>FACILITY MGT TEMP</t>
  </si>
  <si>
    <t>FM TRAILERS</t>
  </si>
  <si>
    <t>M-F</t>
  </si>
  <si>
    <t>M-F/ Fr</t>
  </si>
  <si>
    <t>FM TRAILERS/FTBALL</t>
  </si>
  <si>
    <t>F</t>
  </si>
  <si>
    <t>FOLSOM HALL</t>
  </si>
  <si>
    <t>M-Sa</t>
  </si>
  <si>
    <t>HARPER ALUMNI CTR</t>
  </si>
  <si>
    <t>HORNET NEST FEST</t>
  </si>
  <si>
    <t>5 4y/2 3yd</t>
  </si>
  <si>
    <t>HORNET STADIUM TM</t>
  </si>
  <si>
    <t>LIBRARY - BOOK REC</t>
  </si>
  <si>
    <t>LIBRARY CP</t>
  </si>
  <si>
    <t>MAIN CAMPUS</t>
  </si>
  <si>
    <t>MAIN CAMPUS RO</t>
  </si>
  <si>
    <t>MODOC HALL</t>
  </si>
  <si>
    <t>NAPA HALL</t>
  </si>
  <si>
    <t>NAPA HALL RO</t>
  </si>
  <si>
    <t>PERM RO</t>
  </si>
  <si>
    <t>6y/25y/30</t>
  </si>
  <si>
    <t>1 (25)</t>
  </si>
  <si>
    <t>RIVERFRONT CR FL</t>
  </si>
  <si>
    <t>RIVERFRONT CR RO</t>
  </si>
  <si>
    <t>TAILGATING LOT 8</t>
  </si>
  <si>
    <t>THE WELL FL</t>
  </si>
  <si>
    <t>THE WELL RO</t>
  </si>
  <si>
    <t>UNIV UNION E.DOCK</t>
  </si>
  <si>
    <t>UNIVERSITY UNION</t>
  </si>
  <si>
    <t>M/T/Fr</t>
  </si>
  <si>
    <t>WAREHOUSE TEMP</t>
  </si>
  <si>
    <t>23RD AVE WAREHOUSE</t>
  </si>
  <si>
    <t>NIMBUS FLATS</t>
  </si>
  <si>
    <t>LIBRARY LOADING D</t>
  </si>
  <si>
    <t>UHOUSING PARENT FL</t>
  </si>
  <si>
    <t>UHOUSING PARENT RO</t>
  </si>
  <si>
    <t>AMC NORTH</t>
  </si>
  <si>
    <t>M/T/TH/F</t>
  </si>
  <si>
    <t>AMC SOUTH</t>
  </si>
  <si>
    <t>DESMOND HALL</t>
  </si>
  <si>
    <t>DRAPER HALL</t>
  </si>
  <si>
    <t>KLAMATH HALL</t>
  </si>
  <si>
    <t>MT WHITNEY</t>
  </si>
  <si>
    <t>HOUSING-RIVERVIEW</t>
  </si>
  <si>
    <t>HOUSINGRIVERVIEW E</t>
  </si>
  <si>
    <t>RIVERVIEW N</t>
  </si>
  <si>
    <t>SIERRA HALL</t>
  </si>
  <si>
    <t>ACCT #</t>
  </si>
  <si>
    <t>LOCATION</t>
  </si>
  <si>
    <t>ALPINE</t>
  </si>
  <si>
    <t>ATHLETIC CENTER (FORM. STUDENT HEALTH)</t>
  </si>
  <si>
    <t>TSCHANNEN SCIENCE COMPLEX</t>
  </si>
  <si>
    <t>ALUMNI CENTER TEMP</t>
  </si>
  <si>
    <t>4YD</t>
  </si>
  <si>
    <t>3YD</t>
  </si>
  <si>
    <t>8YD</t>
  </si>
  <si>
    <t>6YD</t>
  </si>
  <si>
    <t>96GAL</t>
  </si>
  <si>
    <t>20YD</t>
  </si>
  <si>
    <t>40YD</t>
  </si>
  <si>
    <t>30YD</t>
  </si>
  <si>
    <t>15YD</t>
  </si>
  <si>
    <t>10YD</t>
  </si>
  <si>
    <t>SVC DAY</t>
  </si>
  <si>
    <t>MON/WED/FRI</t>
  </si>
  <si>
    <t>64GAL</t>
  </si>
  <si>
    <t>AMADOR</t>
  </si>
  <si>
    <t>THU/FRI</t>
  </si>
  <si>
    <t>WED</t>
  </si>
  <si>
    <t>ARBORETUM *</t>
  </si>
  <si>
    <t>-</t>
  </si>
  <si>
    <t>TUE/THU</t>
  </si>
  <si>
    <t>ART SCULPTURE LAB</t>
  </si>
  <si>
    <t>TUE/FRI</t>
  </si>
  <si>
    <t>BRIGHTON</t>
  </si>
  <si>
    <t>CAPISTRANO</t>
  </si>
  <si>
    <t>FACILITIES MANAGEMENT</t>
  </si>
  <si>
    <t>BROAD FIELD HOUSE (ATHLETICS)</t>
  </si>
  <si>
    <t>MON/WED</t>
  </si>
  <si>
    <t>KADEMA/LASSEN</t>
  </si>
  <si>
    <t>MARIPOSA</t>
  </si>
  <si>
    <t>MENDOCINO</t>
  </si>
  <si>
    <t>PUBLIC SAFETY (INSIDE FENCE)</t>
  </si>
  <si>
    <t>1YD</t>
  </si>
  <si>
    <t>RECEIVING/MAIL/REPROGRAPHICS</t>
  </si>
  <si>
    <t>RIVERSIDE ENGINEERING</t>
  </si>
  <si>
    <t>SACRAMENTO</t>
  </si>
  <si>
    <t>SHASTA HALL</t>
  </si>
  <si>
    <t>SEQUOIA</t>
  </si>
  <si>
    <t>TAHOE HALL</t>
  </si>
  <si>
    <t>64GAL / 6YD</t>
  </si>
  <si>
    <t>AQUATIC CENTER</t>
  </si>
  <si>
    <t>MON/FRI</t>
  </si>
  <si>
    <t>THU</t>
  </si>
  <si>
    <t>FRI</t>
  </si>
  <si>
    <t>MON</t>
  </si>
  <si>
    <t>BSE ENG CENTRAL</t>
  </si>
  <si>
    <t>2YD</t>
  </si>
  <si>
    <t>90GAL</t>
  </si>
  <si>
    <t>5YD</t>
  </si>
  <si>
    <t>MON-FRI</t>
  </si>
  <si>
    <t>MON-SAT</t>
  </si>
  <si>
    <t>5×4YD / 2×3YD</t>
  </si>
  <si>
    <t>25YD</t>
  </si>
  <si>
    <t>6YD / 25YD / 30YD</t>
  </si>
  <si>
    <t>60GAL</t>
  </si>
  <si>
    <t>MON/TUE/FRI</t>
  </si>
  <si>
    <t>MON/TUE/THU/FRI</t>
  </si>
  <si>
    <t>TRASH</t>
  </si>
  <si>
    <t>TOTAL CONTAINERS</t>
  </si>
  <si>
    <t>SACRAMENTO STATE | SERVICE LEVELS</t>
  </si>
  <si>
    <t>RECYCLE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</si>
</sst>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Aptos Narrow"/>
      <family val="2"/>
    </font>
    <font>
      <strike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1F1F1F"/>
      <name val="Aptos Narrow"/>
      <family val="2"/>
    </font>
    <font>
      <b/>
      <sz val="10"/>
      <color rgb="FF17365D"/>
      <name val="Aptos Narrow"/>
      <family val="2"/>
    </font>
    <font>
      <b/>
      <sz val="16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0"/>
      <color rgb="FF1F1F1F"/>
      <name val="Aptos Narrow"/>
      <family val="2"/>
    </font>
    <font>
      <sz val="10"/>
      <name val="Aptos Narrow"/>
      <family val="2"/>
    </font>
    <font>
      <b/>
      <sz val="22"/>
      <color rgb="FFFFFFFF"/>
      <name val="Aptos Narrow"/>
      <family val="2"/>
    </font>
    <font>
      <b/>
      <sz val="12"/>
      <color theme="2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DAE9F8"/>
        <bgColor rgb="FFDAE9F8"/>
      </patternFill>
    </fill>
    <fill>
      <patternFill patternType="solid">
        <fgColor rgb="FFBFBFBF"/>
        <bgColor rgb="FFBFBFBF"/>
      </patternFill>
    </fill>
    <fill>
      <patternFill patternType="solid">
        <fgColor rgb="FFB5E6A2"/>
        <bgColor rgb="FFB5E6A2"/>
      </patternFill>
    </fill>
    <fill>
      <patternFill patternType="solid">
        <fgColor rgb="FFDAE9F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249977111117893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AE9F8"/>
      </patternFill>
    </fill>
    <fill>
      <patternFill patternType="solid">
        <fgColor rgb="FFFFFF00"/>
        <bgColor rgb="FFBFBFBF"/>
      </patternFill>
    </fill>
    <fill>
      <patternFill patternType="solid">
        <fgColor rgb="FFFFFF00"/>
        <bgColor rgb="FFB5E6A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0" xfId="0" applyFill="1"/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0" fontId="1" fillId="0" borderId="0" xfId="0" applyFont="1"/>
    <xf numFmtId="0" fontId="0" fillId="5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7" borderId="10" xfId="0" applyFont="1" applyFill="1" applyBorder="1" applyAlignment="1">
      <alignment horizontal="left" vertical="top"/>
    </xf>
    <xf numFmtId="0" fontId="7" fillId="7" borderId="10" xfId="0" applyFont="1" applyFill="1" applyBorder="1" applyAlignment="1">
      <alignment horizontal="left" vertical="top" wrapText="1"/>
    </xf>
    <xf numFmtId="0" fontId="3" fillId="12" borderId="10" xfId="0" applyFont="1" applyFill="1" applyBorder="1" applyAlignment="1">
      <alignment horizontal="center" vertical="top"/>
    </xf>
    <xf numFmtId="0" fontId="4" fillId="12" borderId="10" xfId="0" applyFont="1" applyFill="1" applyBorder="1" applyAlignment="1">
      <alignment horizontal="center" vertical="top"/>
    </xf>
    <xf numFmtId="0" fontId="3" fillId="13" borderId="10" xfId="0" applyFont="1" applyFill="1" applyBorder="1" applyAlignment="1">
      <alignment horizontal="center" vertical="top"/>
    </xf>
    <xf numFmtId="0" fontId="4" fillId="13" borderId="10" xfId="0" applyFont="1" applyFill="1" applyBorder="1" applyAlignment="1">
      <alignment horizontal="center" vertical="top"/>
    </xf>
    <xf numFmtId="0" fontId="3" fillId="15" borderId="10" xfId="0" applyFont="1" applyFill="1" applyBorder="1" applyAlignment="1">
      <alignment horizontal="center" vertical="top"/>
    </xf>
    <xf numFmtId="0" fontId="4" fillId="15" borderId="10" xfId="0" applyFont="1" applyFill="1" applyBorder="1" applyAlignment="1">
      <alignment horizontal="center" vertical="top"/>
    </xf>
    <xf numFmtId="0" fontId="8" fillId="8" borderId="10" xfId="0" applyFont="1" applyFill="1" applyBorder="1" applyAlignment="1">
      <alignment horizontal="left" vertical="top"/>
    </xf>
    <xf numFmtId="0" fontId="7" fillId="8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12" borderId="11" xfId="0" applyFont="1" applyFill="1" applyBorder="1" applyAlignment="1">
      <alignment horizontal="center" vertical="top"/>
    </xf>
    <xf numFmtId="0" fontId="8" fillId="8" borderId="11" xfId="0" applyFont="1" applyFill="1" applyBorder="1" applyAlignment="1">
      <alignment horizontal="left" vertical="top"/>
    </xf>
    <xf numFmtId="0" fontId="7" fillId="8" borderId="11" xfId="0" applyFont="1" applyFill="1" applyBorder="1" applyAlignment="1">
      <alignment horizontal="left" vertical="top" wrapText="1"/>
    </xf>
    <xf numFmtId="0" fontId="4" fillId="12" borderId="11" xfId="0" applyFont="1" applyFill="1" applyBorder="1" applyAlignment="1">
      <alignment horizontal="center" vertical="top"/>
    </xf>
    <xf numFmtId="0" fontId="3" fillId="13" borderId="11" xfId="0" applyFont="1" applyFill="1" applyBorder="1" applyAlignment="1">
      <alignment horizontal="center" vertical="top"/>
    </xf>
    <xf numFmtId="0" fontId="4" fillId="13" borderId="11" xfId="0" applyFont="1" applyFill="1" applyBorder="1" applyAlignment="1">
      <alignment horizontal="center" vertical="top"/>
    </xf>
    <xf numFmtId="0" fontId="3" fillId="15" borderId="11" xfId="0" applyFont="1" applyFill="1" applyBorder="1" applyAlignment="1">
      <alignment horizontal="center" vertical="top"/>
    </xf>
    <xf numFmtId="0" fontId="4" fillId="15" borderId="11" xfId="0" applyFont="1" applyFill="1" applyBorder="1" applyAlignment="1">
      <alignment horizontal="center" vertical="top"/>
    </xf>
    <xf numFmtId="0" fontId="10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6" fillId="14" borderId="8" xfId="0" applyFont="1" applyFill="1" applyBorder="1" applyAlignment="1">
      <alignment horizontal="center" vertical="top"/>
    </xf>
    <xf numFmtId="0" fontId="6" fillId="14" borderId="9" xfId="0" applyFont="1" applyFill="1" applyBorder="1" applyAlignment="1">
      <alignment horizontal="center" vertical="top"/>
    </xf>
    <xf numFmtId="0" fontId="0" fillId="16" borderId="0" xfId="0" applyFill="1"/>
    <xf numFmtId="0" fontId="1" fillId="17" borderId="3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2" fontId="1" fillId="18" borderId="3" xfId="0" applyNumberFormat="1" applyFon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2" fontId="0" fillId="18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6" fillId="14" borderId="7" xfId="0" applyFont="1" applyFill="1" applyBorder="1" applyAlignment="1">
      <alignment horizontal="left" vertical="top"/>
    </xf>
    <xf numFmtId="0" fontId="6" fillId="14" borderId="8" xfId="0" applyFont="1" applyFill="1" applyBorder="1" applyAlignment="1">
      <alignment horizontal="left" vertical="top"/>
    </xf>
    <xf numFmtId="0" fontId="9" fillId="14" borderId="7" xfId="0" applyFont="1" applyFill="1" applyBorder="1" applyAlignment="1">
      <alignment horizontal="left" vertical="center"/>
    </xf>
    <xf numFmtId="0" fontId="9" fillId="14" borderId="8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5" fillId="11" borderId="7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0" fillId="2" borderId="3" xfId="0" applyFill="1" applyBorder="1"/>
    <xf numFmtId="0" fontId="2" fillId="2" borderId="1" xfId="0" applyFont="1" applyFill="1" applyBorder="1"/>
    <xf numFmtId="0" fontId="0" fillId="0" borderId="3" xfId="0" applyBorder="1"/>
    <xf numFmtId="0" fontId="0" fillId="2" borderId="4" xfId="0" applyFill="1" applyBorder="1"/>
    <xf numFmtId="0" fontId="0" fillId="2" borderId="1" xfId="0" applyFill="1" applyBorder="1"/>
    <xf numFmtId="0" fontId="0" fillId="17" borderId="3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BFBFBF"/>
      <color rgb="FFDAE9F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0909-535C-43FC-B800-ED3D7C409393}">
  <dimension ref="A1:N78"/>
  <sheetViews>
    <sheetView tabSelected="1" zoomScale="84" zoomScaleNormal="84" workbookViewId="0">
      <selection sqref="A1:N1"/>
    </sheetView>
  </sheetViews>
  <sheetFormatPr defaultRowHeight="14.5" x14ac:dyDescent="0.35"/>
  <cols>
    <col min="1" max="1" width="8.453125" style="27" customWidth="1"/>
    <col min="2" max="2" width="36.81640625" style="27" bestFit="1" customWidth="1"/>
    <col min="3" max="3" width="5.7265625" customWidth="1"/>
    <col min="4" max="4" width="16.6328125" customWidth="1"/>
    <col min="5" max="5" width="7" customWidth="1"/>
    <col min="6" max="6" width="16.81640625" customWidth="1"/>
    <col min="7" max="7" width="5.90625" customWidth="1"/>
    <col min="8" max="8" width="12" customWidth="1"/>
    <col min="9" max="9" width="6.81640625" customWidth="1"/>
    <col min="10" max="10" width="14" customWidth="1"/>
    <col min="11" max="11" width="5" customWidth="1"/>
    <col min="12" max="12" width="14.90625" customWidth="1"/>
    <col min="13" max="13" width="7.08984375" customWidth="1"/>
    <col min="14" max="14" width="13" customWidth="1"/>
  </cols>
  <sheetData>
    <row r="1" spans="1:14" ht="29" thickBot="1" x14ac:dyDescent="0.4">
      <c r="A1" s="67" t="s">
        <v>169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21.5" thickBot="1" x14ac:dyDescent="0.4">
      <c r="A2" s="28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21.5" thickBot="1" x14ac:dyDescent="0.55000000000000004">
      <c r="A3" s="69"/>
      <c r="B3" s="70"/>
      <c r="C3" s="71" t="s">
        <v>167</v>
      </c>
      <c r="D3" s="72"/>
      <c r="E3" s="72"/>
      <c r="F3" s="73"/>
      <c r="G3" s="74" t="s">
        <v>170</v>
      </c>
      <c r="H3" s="75"/>
      <c r="I3" s="75"/>
      <c r="J3" s="76"/>
      <c r="K3" s="77" t="s">
        <v>3</v>
      </c>
      <c r="L3" s="78"/>
      <c r="M3" s="78"/>
      <c r="N3" s="79"/>
    </row>
    <row r="5" spans="1:14" s="40" customFormat="1" ht="16" x14ac:dyDescent="0.35">
      <c r="A5" s="49" t="s">
        <v>106</v>
      </c>
      <c r="B5" s="49" t="s">
        <v>107</v>
      </c>
      <c r="C5" s="50" t="s">
        <v>4</v>
      </c>
      <c r="D5" s="50" t="s">
        <v>5</v>
      </c>
      <c r="E5" s="50" t="s">
        <v>6</v>
      </c>
      <c r="F5" s="50" t="s">
        <v>122</v>
      </c>
      <c r="G5" s="50" t="s">
        <v>4</v>
      </c>
      <c r="H5" s="50" t="s">
        <v>5</v>
      </c>
      <c r="I5" s="50" t="s">
        <v>6</v>
      </c>
      <c r="J5" s="50" t="s">
        <v>122</v>
      </c>
      <c r="K5" s="50" t="s">
        <v>4</v>
      </c>
      <c r="L5" s="50" t="s">
        <v>5</v>
      </c>
      <c r="M5" s="50" t="s">
        <v>6</v>
      </c>
      <c r="N5" s="50" t="s">
        <v>122</v>
      </c>
    </row>
    <row r="6" spans="1:14" s="40" customFormat="1" x14ac:dyDescent="0.35">
      <c r="A6" s="30">
        <v>201003</v>
      </c>
      <c r="B6" s="31" t="s">
        <v>108</v>
      </c>
      <c r="C6" s="32">
        <v>2</v>
      </c>
      <c r="D6" s="33" t="s">
        <v>112</v>
      </c>
      <c r="E6" s="32">
        <v>3</v>
      </c>
      <c r="F6" s="32" t="s">
        <v>123</v>
      </c>
      <c r="G6" s="34" t="s">
        <v>129</v>
      </c>
      <c r="H6" s="34" t="s">
        <v>129</v>
      </c>
      <c r="I6" s="34" t="s">
        <v>129</v>
      </c>
      <c r="J6" s="34" t="s">
        <v>129</v>
      </c>
      <c r="K6" s="36">
        <v>1</v>
      </c>
      <c r="L6" s="37" t="s">
        <v>124</v>
      </c>
      <c r="M6" s="36">
        <v>1</v>
      </c>
      <c r="N6" s="36" t="s">
        <v>12</v>
      </c>
    </row>
    <row r="7" spans="1:14" s="40" customFormat="1" x14ac:dyDescent="0.35">
      <c r="A7" s="38">
        <v>201005</v>
      </c>
      <c r="B7" s="39" t="s">
        <v>125</v>
      </c>
      <c r="C7" s="32">
        <v>1</v>
      </c>
      <c r="D7" s="33" t="s">
        <v>112</v>
      </c>
      <c r="E7" s="32">
        <v>2</v>
      </c>
      <c r="F7" s="32" t="s">
        <v>126</v>
      </c>
      <c r="G7" s="34">
        <v>1</v>
      </c>
      <c r="H7" s="35" t="s">
        <v>112</v>
      </c>
      <c r="I7" s="34">
        <v>1</v>
      </c>
      <c r="J7" s="34" t="s">
        <v>127</v>
      </c>
      <c r="K7" s="36">
        <v>1</v>
      </c>
      <c r="L7" s="37" t="s">
        <v>124</v>
      </c>
      <c r="M7" s="36">
        <v>1</v>
      </c>
      <c r="N7" s="36" t="s">
        <v>12</v>
      </c>
    </row>
    <row r="8" spans="1:14" s="40" customFormat="1" x14ac:dyDescent="0.35">
      <c r="A8" s="30">
        <v>201006</v>
      </c>
      <c r="B8" s="31" t="s">
        <v>128</v>
      </c>
      <c r="C8" s="32" t="s">
        <v>129</v>
      </c>
      <c r="D8" s="32" t="s">
        <v>129</v>
      </c>
      <c r="E8" s="32" t="s">
        <v>129</v>
      </c>
      <c r="F8" s="32" t="s">
        <v>129</v>
      </c>
      <c r="G8" s="34" t="s">
        <v>129</v>
      </c>
      <c r="H8" s="34" t="s">
        <v>129</v>
      </c>
      <c r="I8" s="34" t="s">
        <v>129</v>
      </c>
      <c r="J8" s="34" t="s">
        <v>129</v>
      </c>
      <c r="K8" s="36">
        <v>1</v>
      </c>
      <c r="L8" s="37" t="s">
        <v>112</v>
      </c>
      <c r="M8" s="36">
        <v>2</v>
      </c>
      <c r="N8" s="36" t="s">
        <v>130</v>
      </c>
    </row>
    <row r="9" spans="1:14" s="40" customFormat="1" x14ac:dyDescent="0.35">
      <c r="A9" s="38">
        <v>201007</v>
      </c>
      <c r="B9" s="39" t="s">
        <v>131</v>
      </c>
      <c r="C9" s="32">
        <v>1</v>
      </c>
      <c r="D9" s="33" t="s">
        <v>112</v>
      </c>
      <c r="E9" s="32">
        <v>2</v>
      </c>
      <c r="F9" s="32" t="s">
        <v>132</v>
      </c>
      <c r="G9" s="34">
        <v>1</v>
      </c>
      <c r="H9" s="35" t="s">
        <v>112</v>
      </c>
      <c r="I9" s="34">
        <v>1</v>
      </c>
      <c r="J9" s="34" t="s">
        <v>129</v>
      </c>
      <c r="K9" s="36">
        <v>1</v>
      </c>
      <c r="L9" s="37" t="s">
        <v>124</v>
      </c>
      <c r="M9" s="36">
        <v>1</v>
      </c>
      <c r="N9" s="36" t="s">
        <v>129</v>
      </c>
    </row>
    <row r="10" spans="1:14" s="40" customFormat="1" x14ac:dyDescent="0.35">
      <c r="A10" s="30">
        <v>201008</v>
      </c>
      <c r="B10" s="31" t="s">
        <v>109</v>
      </c>
      <c r="C10" s="32">
        <v>1</v>
      </c>
      <c r="D10" s="33" t="s">
        <v>112</v>
      </c>
      <c r="E10" s="32">
        <v>2</v>
      </c>
      <c r="F10" s="32" t="s">
        <v>132</v>
      </c>
      <c r="G10" s="34">
        <v>1</v>
      </c>
      <c r="H10" s="35" t="s">
        <v>112</v>
      </c>
      <c r="I10" s="34">
        <v>1</v>
      </c>
      <c r="J10" s="34" t="s">
        <v>127</v>
      </c>
      <c r="K10" s="36">
        <v>1</v>
      </c>
      <c r="L10" s="37" t="s">
        <v>124</v>
      </c>
      <c r="M10" s="36">
        <v>1</v>
      </c>
      <c r="N10" s="36" t="s">
        <v>12</v>
      </c>
    </row>
    <row r="11" spans="1:14" s="40" customFormat="1" x14ac:dyDescent="0.35">
      <c r="A11" s="38">
        <v>201009</v>
      </c>
      <c r="B11" s="39" t="s">
        <v>133</v>
      </c>
      <c r="C11" s="32">
        <v>1</v>
      </c>
      <c r="D11" s="33" t="s">
        <v>112</v>
      </c>
      <c r="E11" s="32">
        <v>3</v>
      </c>
      <c r="F11" s="32" t="s">
        <v>123</v>
      </c>
      <c r="G11" s="34">
        <v>1</v>
      </c>
      <c r="H11" s="35" t="s">
        <v>112</v>
      </c>
      <c r="I11" s="34">
        <v>1</v>
      </c>
      <c r="J11" s="34" t="s">
        <v>127</v>
      </c>
      <c r="K11" s="36">
        <v>1</v>
      </c>
      <c r="L11" s="37" t="s">
        <v>124</v>
      </c>
      <c r="M11" s="36">
        <v>1</v>
      </c>
      <c r="N11" s="36" t="s">
        <v>12</v>
      </c>
    </row>
    <row r="12" spans="1:14" s="40" customFormat="1" x14ac:dyDescent="0.35">
      <c r="A12" s="30">
        <v>201010</v>
      </c>
      <c r="B12" s="31" t="s">
        <v>134</v>
      </c>
      <c r="C12" s="32">
        <v>1</v>
      </c>
      <c r="D12" s="33" t="s">
        <v>112</v>
      </c>
      <c r="E12" s="32">
        <v>2</v>
      </c>
      <c r="F12" s="32" t="s">
        <v>132</v>
      </c>
      <c r="G12" s="34">
        <v>1</v>
      </c>
      <c r="H12" s="35" t="s">
        <v>112</v>
      </c>
      <c r="I12" s="34">
        <v>1</v>
      </c>
      <c r="J12" s="34" t="s">
        <v>127</v>
      </c>
      <c r="K12" s="36">
        <v>1</v>
      </c>
      <c r="L12" s="37" t="s">
        <v>124</v>
      </c>
      <c r="M12" s="36">
        <v>1</v>
      </c>
      <c r="N12" s="36" t="s">
        <v>12</v>
      </c>
    </row>
    <row r="13" spans="1:14" s="40" customFormat="1" x14ac:dyDescent="0.35">
      <c r="A13" s="38">
        <v>201011</v>
      </c>
      <c r="B13" s="39" t="s">
        <v>135</v>
      </c>
      <c r="C13" s="32">
        <v>2</v>
      </c>
      <c r="D13" s="33" t="s">
        <v>112</v>
      </c>
      <c r="E13" s="32">
        <v>1</v>
      </c>
      <c r="F13" s="32" t="s">
        <v>127</v>
      </c>
      <c r="G13" s="34"/>
      <c r="H13" s="35"/>
      <c r="I13" s="34"/>
      <c r="J13" s="34" t="s">
        <v>129</v>
      </c>
      <c r="K13" s="36">
        <v>1</v>
      </c>
      <c r="L13" s="37" t="s">
        <v>124</v>
      </c>
      <c r="M13" s="36">
        <v>1</v>
      </c>
      <c r="N13" s="36" t="s">
        <v>12</v>
      </c>
    </row>
    <row r="14" spans="1:14" s="40" customFormat="1" x14ac:dyDescent="0.35">
      <c r="A14" s="30">
        <v>201012</v>
      </c>
      <c r="B14" s="31" t="s">
        <v>136</v>
      </c>
      <c r="C14" s="32">
        <v>2</v>
      </c>
      <c r="D14" s="33" t="s">
        <v>112</v>
      </c>
      <c r="E14" s="32">
        <v>3</v>
      </c>
      <c r="F14" s="32" t="s">
        <v>123</v>
      </c>
      <c r="G14" s="34">
        <v>1</v>
      </c>
      <c r="H14" s="35" t="s">
        <v>112</v>
      </c>
      <c r="I14" s="34">
        <v>2</v>
      </c>
      <c r="J14" s="34" t="s">
        <v>137</v>
      </c>
      <c r="K14" s="36">
        <v>1</v>
      </c>
      <c r="L14" s="37" t="s">
        <v>124</v>
      </c>
      <c r="M14" s="36">
        <v>1</v>
      </c>
      <c r="N14" s="36" t="s">
        <v>12</v>
      </c>
    </row>
    <row r="15" spans="1:14" s="40" customFormat="1" x14ac:dyDescent="0.35">
      <c r="A15" s="38">
        <v>201013</v>
      </c>
      <c r="B15" s="39" t="s">
        <v>138</v>
      </c>
      <c r="C15" s="32">
        <v>4</v>
      </c>
      <c r="D15" s="33" t="s">
        <v>112</v>
      </c>
      <c r="E15" s="32">
        <v>2</v>
      </c>
      <c r="F15" s="32" t="s">
        <v>132</v>
      </c>
      <c r="G15" s="34">
        <v>2</v>
      </c>
      <c r="H15" s="35" t="s">
        <v>112</v>
      </c>
      <c r="I15" s="34">
        <v>1</v>
      </c>
      <c r="J15" s="34" t="s">
        <v>127</v>
      </c>
      <c r="K15" s="36">
        <v>1</v>
      </c>
      <c r="L15" s="37" t="s">
        <v>124</v>
      </c>
      <c r="M15" s="36">
        <v>1</v>
      </c>
      <c r="N15" s="36" t="s">
        <v>12</v>
      </c>
    </row>
    <row r="16" spans="1:14" s="40" customFormat="1" x14ac:dyDescent="0.35">
      <c r="A16" s="30">
        <v>201018</v>
      </c>
      <c r="B16" s="31" t="s">
        <v>139</v>
      </c>
      <c r="C16" s="32">
        <v>2</v>
      </c>
      <c r="D16" s="33" t="s">
        <v>113</v>
      </c>
      <c r="E16" s="32">
        <v>2</v>
      </c>
      <c r="F16" s="32" t="s">
        <v>132</v>
      </c>
      <c r="G16" s="34">
        <v>2</v>
      </c>
      <c r="H16" s="35" t="s">
        <v>113</v>
      </c>
      <c r="I16" s="34">
        <v>1</v>
      </c>
      <c r="J16" s="34" t="s">
        <v>12</v>
      </c>
      <c r="K16" s="36">
        <v>1</v>
      </c>
      <c r="L16" s="37" t="s">
        <v>124</v>
      </c>
      <c r="M16" s="36">
        <v>1</v>
      </c>
      <c r="N16" s="36" t="s">
        <v>12</v>
      </c>
    </row>
    <row r="17" spans="1:14" s="40" customFormat="1" x14ac:dyDescent="0.35">
      <c r="A17" s="38">
        <v>201019</v>
      </c>
      <c r="B17" s="39" t="s">
        <v>140</v>
      </c>
      <c r="C17" s="32">
        <v>1</v>
      </c>
      <c r="D17" s="33" t="s">
        <v>114</v>
      </c>
      <c r="E17" s="32">
        <v>3</v>
      </c>
      <c r="F17" s="32" t="s">
        <v>123</v>
      </c>
      <c r="G17" s="34">
        <v>1</v>
      </c>
      <c r="H17" s="35" t="s">
        <v>115</v>
      </c>
      <c r="I17" s="34">
        <v>1</v>
      </c>
      <c r="J17" s="34" t="s">
        <v>127</v>
      </c>
      <c r="K17" s="36">
        <v>1</v>
      </c>
      <c r="L17" s="37" t="s">
        <v>124</v>
      </c>
      <c r="M17" s="36">
        <v>1</v>
      </c>
      <c r="N17" s="36" t="s">
        <v>12</v>
      </c>
    </row>
    <row r="18" spans="1:14" s="40" customFormat="1" x14ac:dyDescent="0.35">
      <c r="A18" s="30">
        <v>201020</v>
      </c>
      <c r="B18" s="31" t="s">
        <v>141</v>
      </c>
      <c r="C18" s="32">
        <v>1</v>
      </c>
      <c r="D18" s="33" t="s">
        <v>112</v>
      </c>
      <c r="E18" s="32">
        <v>2</v>
      </c>
      <c r="F18" s="32" t="s">
        <v>132</v>
      </c>
      <c r="G18" s="34">
        <v>1</v>
      </c>
      <c r="H18" s="35" t="s">
        <v>142</v>
      </c>
      <c r="I18" s="34">
        <v>1</v>
      </c>
      <c r="J18" s="34" t="s">
        <v>127</v>
      </c>
      <c r="K18" s="36">
        <v>1</v>
      </c>
      <c r="L18" s="37" t="s">
        <v>124</v>
      </c>
      <c r="M18" s="36">
        <v>1</v>
      </c>
      <c r="N18" s="36" t="s">
        <v>12</v>
      </c>
    </row>
    <row r="19" spans="1:14" s="40" customFormat="1" x14ac:dyDescent="0.35">
      <c r="A19" s="38">
        <v>201021</v>
      </c>
      <c r="B19" s="39" t="s">
        <v>143</v>
      </c>
      <c r="C19" s="32">
        <v>1</v>
      </c>
      <c r="D19" s="33" t="s">
        <v>112</v>
      </c>
      <c r="E19" s="32">
        <v>2</v>
      </c>
      <c r="F19" s="32" t="s">
        <v>132</v>
      </c>
      <c r="G19" s="34">
        <v>1</v>
      </c>
      <c r="H19" s="35" t="s">
        <v>112</v>
      </c>
      <c r="I19" s="34">
        <v>1</v>
      </c>
      <c r="J19" s="34" t="s">
        <v>127</v>
      </c>
      <c r="K19" s="36">
        <v>1</v>
      </c>
      <c r="L19" s="37" t="s">
        <v>124</v>
      </c>
      <c r="M19" s="36">
        <v>1</v>
      </c>
      <c r="N19" s="36" t="s">
        <v>12</v>
      </c>
    </row>
    <row r="20" spans="1:14" s="40" customFormat="1" x14ac:dyDescent="0.35">
      <c r="A20" s="30">
        <v>201022</v>
      </c>
      <c r="B20" s="31" t="s">
        <v>144</v>
      </c>
      <c r="C20" s="32">
        <v>2</v>
      </c>
      <c r="D20" s="33" t="s">
        <v>112</v>
      </c>
      <c r="E20" s="32">
        <v>2</v>
      </c>
      <c r="F20" s="32" t="s">
        <v>132</v>
      </c>
      <c r="G20" s="34">
        <v>1</v>
      </c>
      <c r="H20" s="35" t="s">
        <v>112</v>
      </c>
      <c r="I20" s="34">
        <v>1</v>
      </c>
      <c r="J20" s="34" t="s">
        <v>127</v>
      </c>
      <c r="K20" s="36">
        <v>1</v>
      </c>
      <c r="L20" s="37" t="s">
        <v>124</v>
      </c>
      <c r="M20" s="36">
        <v>1</v>
      </c>
      <c r="N20" s="36" t="s">
        <v>12</v>
      </c>
    </row>
    <row r="21" spans="1:14" s="40" customFormat="1" x14ac:dyDescent="0.35">
      <c r="A21" s="38">
        <v>201023</v>
      </c>
      <c r="B21" s="39" t="s">
        <v>145</v>
      </c>
      <c r="C21" s="32">
        <v>2</v>
      </c>
      <c r="D21" s="33" t="s">
        <v>112</v>
      </c>
      <c r="E21" s="32">
        <v>2</v>
      </c>
      <c r="F21" s="32" t="s">
        <v>132</v>
      </c>
      <c r="G21" s="34">
        <v>1</v>
      </c>
      <c r="H21" s="35" t="s">
        <v>112</v>
      </c>
      <c r="I21" s="34">
        <v>1</v>
      </c>
      <c r="J21" s="34" t="s">
        <v>127</v>
      </c>
      <c r="K21" s="36">
        <v>1</v>
      </c>
      <c r="L21" s="37" t="s">
        <v>124</v>
      </c>
      <c r="M21" s="36">
        <v>1</v>
      </c>
      <c r="N21" s="36" t="s">
        <v>12</v>
      </c>
    </row>
    <row r="22" spans="1:14" s="40" customFormat="1" x14ac:dyDescent="0.35">
      <c r="A22" s="30">
        <v>201024</v>
      </c>
      <c r="B22" s="31" t="s">
        <v>146</v>
      </c>
      <c r="C22" s="32">
        <v>2</v>
      </c>
      <c r="D22" s="33" t="s">
        <v>113</v>
      </c>
      <c r="E22" s="32">
        <v>2</v>
      </c>
      <c r="F22" s="32" t="s">
        <v>132</v>
      </c>
      <c r="G22" s="34">
        <v>1</v>
      </c>
      <c r="H22" s="35" t="s">
        <v>113</v>
      </c>
      <c r="I22" s="34">
        <v>1</v>
      </c>
      <c r="J22" s="34" t="s">
        <v>127</v>
      </c>
      <c r="K22" s="36">
        <v>1</v>
      </c>
      <c r="L22" s="37" t="s">
        <v>124</v>
      </c>
      <c r="M22" s="36">
        <v>1</v>
      </c>
      <c r="N22" s="36" t="s">
        <v>12</v>
      </c>
    </row>
    <row r="23" spans="1:14" s="40" customFormat="1" x14ac:dyDescent="0.35">
      <c r="A23" s="38">
        <v>201025</v>
      </c>
      <c r="B23" s="39" t="s">
        <v>147</v>
      </c>
      <c r="C23" s="32">
        <v>2</v>
      </c>
      <c r="D23" s="33" t="s">
        <v>112</v>
      </c>
      <c r="E23" s="32">
        <v>2</v>
      </c>
      <c r="F23" s="32" t="s">
        <v>132</v>
      </c>
      <c r="G23" s="34">
        <v>1</v>
      </c>
      <c r="H23" s="35" t="s">
        <v>114</v>
      </c>
      <c r="I23" s="34">
        <v>1</v>
      </c>
      <c r="J23" s="34" t="s">
        <v>127</v>
      </c>
      <c r="K23" s="36">
        <v>1</v>
      </c>
      <c r="L23" s="37" t="s">
        <v>124</v>
      </c>
      <c r="M23" s="36">
        <v>1</v>
      </c>
      <c r="N23" s="36" t="s">
        <v>12</v>
      </c>
    </row>
    <row r="24" spans="1:14" s="40" customFormat="1" x14ac:dyDescent="0.35">
      <c r="A24" s="30">
        <v>201026</v>
      </c>
      <c r="B24" s="31" t="s">
        <v>148</v>
      </c>
      <c r="C24" s="32">
        <v>3</v>
      </c>
      <c r="D24" s="33" t="s">
        <v>113</v>
      </c>
      <c r="E24" s="32">
        <v>2</v>
      </c>
      <c r="F24" s="32" t="s">
        <v>132</v>
      </c>
      <c r="G24" s="34">
        <v>1</v>
      </c>
      <c r="H24" s="35" t="s">
        <v>112</v>
      </c>
      <c r="I24" s="34">
        <v>1</v>
      </c>
      <c r="J24" s="34" t="s">
        <v>127</v>
      </c>
      <c r="K24" s="36">
        <v>1</v>
      </c>
      <c r="L24" s="37" t="s">
        <v>124</v>
      </c>
      <c r="M24" s="36">
        <v>1</v>
      </c>
      <c r="N24" s="36" t="s">
        <v>12</v>
      </c>
    </row>
    <row r="25" spans="1:14" s="40" customFormat="1" x14ac:dyDescent="0.35">
      <c r="A25" s="38">
        <v>201027</v>
      </c>
      <c r="B25" s="39" t="s">
        <v>110</v>
      </c>
      <c r="C25" s="32">
        <v>1</v>
      </c>
      <c r="D25" s="33" t="s">
        <v>112</v>
      </c>
      <c r="E25" s="32">
        <v>2</v>
      </c>
      <c r="F25" s="32" t="s">
        <v>132</v>
      </c>
      <c r="G25" s="34">
        <v>2</v>
      </c>
      <c r="H25" s="35" t="s">
        <v>112</v>
      </c>
      <c r="I25" s="34">
        <v>1</v>
      </c>
      <c r="J25" s="34" t="s">
        <v>127</v>
      </c>
      <c r="K25" s="36">
        <v>1</v>
      </c>
      <c r="L25" s="37" t="s">
        <v>124</v>
      </c>
      <c r="M25" s="36">
        <v>1</v>
      </c>
      <c r="N25" s="36" t="s">
        <v>12</v>
      </c>
    </row>
    <row r="26" spans="1:14" s="40" customFormat="1" x14ac:dyDescent="0.35">
      <c r="A26" s="30">
        <v>206802</v>
      </c>
      <c r="B26" s="31" t="s">
        <v>111</v>
      </c>
      <c r="C26" s="32">
        <v>1</v>
      </c>
      <c r="D26" s="33" t="s">
        <v>115</v>
      </c>
      <c r="E26" s="32" t="s">
        <v>129</v>
      </c>
      <c r="F26" s="32" t="s">
        <v>129</v>
      </c>
      <c r="G26" s="34">
        <v>21</v>
      </c>
      <c r="H26" s="35" t="s">
        <v>149</v>
      </c>
      <c r="I26" s="34" t="s">
        <v>129</v>
      </c>
      <c r="J26" s="34" t="s">
        <v>129</v>
      </c>
      <c r="K26" s="36">
        <v>20</v>
      </c>
      <c r="L26" s="37" t="s">
        <v>124</v>
      </c>
      <c r="M26" s="36" t="s">
        <v>129</v>
      </c>
      <c r="N26" s="36" t="s">
        <v>129</v>
      </c>
    </row>
    <row r="27" spans="1:14" s="40" customFormat="1" x14ac:dyDescent="0.35">
      <c r="A27" s="38">
        <v>173577</v>
      </c>
      <c r="B27" s="39" t="s">
        <v>150</v>
      </c>
      <c r="C27" s="32">
        <v>1</v>
      </c>
      <c r="D27" s="33" t="s">
        <v>112</v>
      </c>
      <c r="E27" s="32">
        <v>2</v>
      </c>
      <c r="F27" s="32" t="s">
        <v>151</v>
      </c>
      <c r="G27" s="34">
        <v>1</v>
      </c>
      <c r="H27" s="35" t="s">
        <v>112</v>
      </c>
      <c r="I27" s="34">
        <v>1</v>
      </c>
      <c r="J27" s="34" t="s">
        <v>152</v>
      </c>
      <c r="K27" s="36">
        <v>1</v>
      </c>
      <c r="L27" s="37" t="s">
        <v>124</v>
      </c>
      <c r="M27" s="36">
        <v>1</v>
      </c>
      <c r="N27" s="36" t="s">
        <v>152</v>
      </c>
    </row>
    <row r="28" spans="1:14" s="40" customFormat="1" x14ac:dyDescent="0.35">
      <c r="A28" s="30">
        <v>203596</v>
      </c>
      <c r="B28" s="31" t="s">
        <v>45</v>
      </c>
      <c r="C28" s="32">
        <v>1</v>
      </c>
      <c r="D28" s="33" t="s">
        <v>112</v>
      </c>
      <c r="E28" s="32">
        <v>2</v>
      </c>
      <c r="F28" s="32" t="s">
        <v>130</v>
      </c>
      <c r="G28" s="34" t="s">
        <v>129</v>
      </c>
      <c r="H28" s="34" t="s">
        <v>129</v>
      </c>
      <c r="I28" s="34" t="s">
        <v>129</v>
      </c>
      <c r="J28" s="34" t="s">
        <v>129</v>
      </c>
      <c r="K28" s="36" t="s">
        <v>129</v>
      </c>
      <c r="L28" s="36" t="s">
        <v>129</v>
      </c>
      <c r="M28" s="36" t="s">
        <v>129</v>
      </c>
      <c r="N28" s="36" t="s">
        <v>129</v>
      </c>
    </row>
    <row r="29" spans="1:14" s="40" customFormat="1" x14ac:dyDescent="0.35">
      <c r="A29" s="38">
        <v>206805</v>
      </c>
      <c r="B29" s="39" t="s">
        <v>47</v>
      </c>
      <c r="C29" s="32">
        <v>1</v>
      </c>
      <c r="D29" s="33" t="s">
        <v>112</v>
      </c>
      <c r="E29" s="32">
        <v>2</v>
      </c>
      <c r="F29" s="32" t="s">
        <v>130</v>
      </c>
      <c r="G29" s="34">
        <v>1</v>
      </c>
      <c r="H29" s="35" t="s">
        <v>113</v>
      </c>
      <c r="I29" s="34">
        <v>1</v>
      </c>
      <c r="J29" s="34" t="s">
        <v>153</v>
      </c>
      <c r="K29" s="36" t="s">
        <v>129</v>
      </c>
      <c r="L29" s="36" t="s">
        <v>129</v>
      </c>
      <c r="M29" s="36" t="s">
        <v>129</v>
      </c>
      <c r="N29" s="36" t="s">
        <v>129</v>
      </c>
    </row>
    <row r="30" spans="1:14" s="40" customFormat="1" x14ac:dyDescent="0.35">
      <c r="A30" s="30">
        <v>204226</v>
      </c>
      <c r="B30" s="31" t="s">
        <v>49</v>
      </c>
      <c r="C30" s="32">
        <v>1</v>
      </c>
      <c r="D30" s="33" t="s">
        <v>116</v>
      </c>
      <c r="E30" s="32">
        <v>1</v>
      </c>
      <c r="F30" s="32" t="s">
        <v>152</v>
      </c>
      <c r="G30" s="34" t="s">
        <v>129</v>
      </c>
      <c r="H30" s="34" t="s">
        <v>129</v>
      </c>
      <c r="I30" s="34" t="s">
        <v>129</v>
      </c>
      <c r="J30" s="34" t="s">
        <v>129</v>
      </c>
      <c r="K30" s="36">
        <v>1</v>
      </c>
      <c r="L30" s="37" t="s">
        <v>124</v>
      </c>
      <c r="M30" s="36">
        <v>1</v>
      </c>
      <c r="N30" s="36" t="s">
        <v>12</v>
      </c>
    </row>
    <row r="31" spans="1:14" s="40" customFormat="1" x14ac:dyDescent="0.35">
      <c r="A31" s="38">
        <v>212579</v>
      </c>
      <c r="B31" s="39" t="s">
        <v>50</v>
      </c>
      <c r="C31" s="32">
        <v>1</v>
      </c>
      <c r="D31" s="33" t="s">
        <v>112</v>
      </c>
      <c r="E31" s="32">
        <v>1</v>
      </c>
      <c r="F31" s="32" t="s">
        <v>127</v>
      </c>
      <c r="G31" s="34">
        <v>1</v>
      </c>
      <c r="H31" s="35" t="s">
        <v>112</v>
      </c>
      <c r="I31" s="34">
        <v>1</v>
      </c>
      <c r="J31" s="34" t="s">
        <v>154</v>
      </c>
      <c r="K31" s="36">
        <v>1</v>
      </c>
      <c r="L31" s="37" t="s">
        <v>124</v>
      </c>
      <c r="M31" s="36">
        <v>1</v>
      </c>
      <c r="N31" s="36" t="s">
        <v>152</v>
      </c>
    </row>
    <row r="32" spans="1:14" s="40" customFormat="1" x14ac:dyDescent="0.35">
      <c r="A32" s="30">
        <v>202469</v>
      </c>
      <c r="B32" s="31" t="s">
        <v>52</v>
      </c>
      <c r="C32" s="32" t="s">
        <v>129</v>
      </c>
      <c r="D32" s="32" t="s">
        <v>129</v>
      </c>
      <c r="E32" s="32" t="s">
        <v>129</v>
      </c>
      <c r="F32" s="32" t="s">
        <v>129</v>
      </c>
      <c r="G32" s="34">
        <v>1</v>
      </c>
      <c r="H32" s="35" t="s">
        <v>112</v>
      </c>
      <c r="I32" s="34">
        <v>3</v>
      </c>
      <c r="J32" s="34" t="s">
        <v>123</v>
      </c>
      <c r="K32" s="36">
        <v>1</v>
      </c>
      <c r="L32" s="37" t="s">
        <v>124</v>
      </c>
      <c r="M32" s="36">
        <v>1</v>
      </c>
      <c r="N32" s="36" t="s">
        <v>12</v>
      </c>
    </row>
    <row r="33" spans="1:14" s="40" customFormat="1" x14ac:dyDescent="0.35">
      <c r="A33" s="38">
        <v>202471</v>
      </c>
      <c r="B33" s="39" t="s">
        <v>54</v>
      </c>
      <c r="C33" s="32">
        <v>1</v>
      </c>
      <c r="D33" s="33" t="s">
        <v>120</v>
      </c>
      <c r="E33" s="32">
        <v>1</v>
      </c>
      <c r="F33" s="32" t="s">
        <v>127</v>
      </c>
      <c r="G33" s="34" t="s">
        <v>129</v>
      </c>
      <c r="H33" s="34" t="s">
        <v>129</v>
      </c>
      <c r="I33" s="34" t="s">
        <v>129</v>
      </c>
      <c r="J33" s="34" t="s">
        <v>129</v>
      </c>
      <c r="K33" s="36" t="s">
        <v>129</v>
      </c>
      <c r="L33" s="36" t="s">
        <v>129</v>
      </c>
      <c r="M33" s="36" t="s">
        <v>129</v>
      </c>
      <c r="N33" s="36" t="s">
        <v>129</v>
      </c>
    </row>
    <row r="34" spans="1:14" s="40" customFormat="1" x14ac:dyDescent="0.35">
      <c r="A34" s="30">
        <v>205898</v>
      </c>
      <c r="B34" s="31" t="s">
        <v>155</v>
      </c>
      <c r="C34" s="32">
        <v>2</v>
      </c>
      <c r="D34" s="33" t="s">
        <v>118</v>
      </c>
      <c r="E34" s="32" t="s">
        <v>129</v>
      </c>
      <c r="F34" s="32" t="s">
        <v>129</v>
      </c>
      <c r="G34" s="34" t="s">
        <v>129</v>
      </c>
      <c r="H34" s="34" t="s">
        <v>129</v>
      </c>
      <c r="I34" s="34" t="s">
        <v>129</v>
      </c>
      <c r="J34" s="34" t="s">
        <v>129</v>
      </c>
      <c r="K34" s="36" t="s">
        <v>129</v>
      </c>
      <c r="L34" s="36" t="s">
        <v>129</v>
      </c>
      <c r="M34" s="36" t="s">
        <v>129</v>
      </c>
      <c r="N34" s="36" t="s">
        <v>129</v>
      </c>
    </row>
    <row r="35" spans="1:14" s="40" customFormat="1" x14ac:dyDescent="0.35">
      <c r="A35" s="38">
        <v>202433</v>
      </c>
      <c r="B35" s="39" t="s">
        <v>56</v>
      </c>
      <c r="C35" s="32">
        <v>1</v>
      </c>
      <c r="D35" s="33" t="s">
        <v>112</v>
      </c>
      <c r="E35" s="32">
        <v>3</v>
      </c>
      <c r="F35" s="32" t="s">
        <v>123</v>
      </c>
      <c r="G35" s="34">
        <v>2</v>
      </c>
      <c r="H35" s="35" t="s">
        <v>114</v>
      </c>
      <c r="I35" s="34">
        <v>3</v>
      </c>
      <c r="J35" s="34" t="s">
        <v>123</v>
      </c>
      <c r="K35" s="36" t="s">
        <v>129</v>
      </c>
      <c r="L35" s="36" t="s">
        <v>129</v>
      </c>
      <c r="M35" s="36" t="s">
        <v>129</v>
      </c>
      <c r="N35" s="36" t="s">
        <v>129</v>
      </c>
    </row>
    <row r="36" spans="1:14" s="40" customFormat="1" x14ac:dyDescent="0.35">
      <c r="A36" s="30">
        <v>202431</v>
      </c>
      <c r="B36" s="31" t="s">
        <v>57</v>
      </c>
      <c r="C36" s="32" t="s">
        <v>129</v>
      </c>
      <c r="D36" s="32" t="s">
        <v>129</v>
      </c>
      <c r="E36" s="32" t="s">
        <v>129</v>
      </c>
      <c r="F36" s="32" t="s">
        <v>129</v>
      </c>
      <c r="G36" s="34" t="s">
        <v>129</v>
      </c>
      <c r="H36" s="34" t="s">
        <v>129</v>
      </c>
      <c r="I36" s="34" t="s">
        <v>129</v>
      </c>
      <c r="J36" s="34" t="s">
        <v>129</v>
      </c>
      <c r="K36" s="36">
        <v>1</v>
      </c>
      <c r="L36" s="37" t="s">
        <v>117</v>
      </c>
      <c r="M36" s="36">
        <v>1</v>
      </c>
      <c r="N36" s="36" t="s">
        <v>12</v>
      </c>
    </row>
    <row r="37" spans="1:14" s="40" customFormat="1" x14ac:dyDescent="0.35">
      <c r="A37" s="38">
        <v>190408</v>
      </c>
      <c r="B37" s="39" t="s">
        <v>58</v>
      </c>
      <c r="C37" s="32">
        <v>1</v>
      </c>
      <c r="D37" s="33" t="s">
        <v>156</v>
      </c>
      <c r="E37" s="32">
        <v>2</v>
      </c>
      <c r="F37" s="32" t="s">
        <v>132</v>
      </c>
      <c r="G37" s="34">
        <v>1</v>
      </c>
      <c r="H37" s="35" t="s">
        <v>157</v>
      </c>
      <c r="I37" s="34">
        <v>1</v>
      </c>
      <c r="J37" s="34" t="s">
        <v>12</v>
      </c>
      <c r="K37" s="36">
        <v>1</v>
      </c>
      <c r="L37" s="37" t="s">
        <v>124</v>
      </c>
      <c r="M37" s="36">
        <v>4</v>
      </c>
      <c r="N37" s="36" t="s">
        <v>12</v>
      </c>
    </row>
    <row r="38" spans="1:14" s="40" customFormat="1" x14ac:dyDescent="0.35">
      <c r="A38" s="30">
        <v>211404</v>
      </c>
      <c r="B38" s="31" t="s">
        <v>59</v>
      </c>
      <c r="C38" s="32">
        <v>10</v>
      </c>
      <c r="D38" s="33" t="s">
        <v>157</v>
      </c>
      <c r="E38" s="32" t="s">
        <v>129</v>
      </c>
      <c r="F38" s="32" t="s">
        <v>129</v>
      </c>
      <c r="G38" s="34">
        <v>10</v>
      </c>
      <c r="H38" s="35" t="s">
        <v>157</v>
      </c>
      <c r="I38" s="34" t="s">
        <v>129</v>
      </c>
      <c r="J38" s="34" t="s">
        <v>129</v>
      </c>
      <c r="K38" s="36">
        <v>10</v>
      </c>
      <c r="L38" s="37" t="s">
        <v>157</v>
      </c>
      <c r="M38" s="36" t="s">
        <v>129</v>
      </c>
      <c r="N38" s="36" t="s">
        <v>129</v>
      </c>
    </row>
    <row r="39" spans="1:14" s="40" customFormat="1" x14ac:dyDescent="0.35">
      <c r="A39" s="38">
        <v>201046</v>
      </c>
      <c r="B39" s="39" t="s">
        <v>60</v>
      </c>
      <c r="C39" s="32">
        <v>5</v>
      </c>
      <c r="D39" s="33" t="s">
        <v>158</v>
      </c>
      <c r="E39" s="32">
        <v>5</v>
      </c>
      <c r="F39" s="32" t="s">
        <v>159</v>
      </c>
      <c r="G39" s="34" t="s">
        <v>129</v>
      </c>
      <c r="H39" s="34" t="s">
        <v>129</v>
      </c>
      <c r="I39" s="34" t="s">
        <v>129</v>
      </c>
      <c r="J39" s="34" t="s">
        <v>129</v>
      </c>
      <c r="K39" s="36">
        <v>12</v>
      </c>
      <c r="L39" s="37" t="s">
        <v>158</v>
      </c>
      <c r="M39" s="36">
        <v>5</v>
      </c>
      <c r="N39" s="36" t="s">
        <v>159</v>
      </c>
    </row>
    <row r="40" spans="1:14" s="40" customFormat="1" x14ac:dyDescent="0.35">
      <c r="A40" s="30">
        <v>206878</v>
      </c>
      <c r="B40" s="31" t="s">
        <v>63</v>
      </c>
      <c r="C40" s="32">
        <v>5</v>
      </c>
      <c r="D40" s="33" t="s">
        <v>158</v>
      </c>
      <c r="E40" s="32">
        <v>1</v>
      </c>
      <c r="F40" s="32" t="s">
        <v>153</v>
      </c>
      <c r="G40" s="34" t="s">
        <v>129</v>
      </c>
      <c r="H40" s="34" t="s">
        <v>129</v>
      </c>
      <c r="I40" s="34" t="s">
        <v>129</v>
      </c>
      <c r="J40" s="34" t="s">
        <v>129</v>
      </c>
      <c r="K40" s="36">
        <v>5</v>
      </c>
      <c r="L40" s="37" t="s">
        <v>158</v>
      </c>
      <c r="M40" s="36">
        <v>1</v>
      </c>
      <c r="N40" s="36" t="s">
        <v>12</v>
      </c>
    </row>
    <row r="41" spans="1:14" s="40" customFormat="1" x14ac:dyDescent="0.35">
      <c r="A41" s="38">
        <v>202442</v>
      </c>
      <c r="B41" s="39" t="s">
        <v>65</v>
      </c>
      <c r="C41" s="32">
        <v>2</v>
      </c>
      <c r="D41" s="33" t="s">
        <v>113</v>
      </c>
      <c r="E41" s="32">
        <v>6</v>
      </c>
      <c r="F41" s="32" t="s">
        <v>160</v>
      </c>
      <c r="G41" s="34">
        <v>2</v>
      </c>
      <c r="H41" s="35" t="s">
        <v>113</v>
      </c>
      <c r="I41" s="34">
        <v>3</v>
      </c>
      <c r="J41" s="34" t="s">
        <v>123</v>
      </c>
      <c r="K41" s="36">
        <v>1</v>
      </c>
      <c r="L41" s="37" t="s">
        <v>124</v>
      </c>
      <c r="M41" s="36">
        <v>1</v>
      </c>
      <c r="N41" s="36" t="s">
        <v>12</v>
      </c>
    </row>
    <row r="42" spans="1:14" s="40" customFormat="1" x14ac:dyDescent="0.35">
      <c r="A42" s="30">
        <v>202334</v>
      </c>
      <c r="B42" s="31" t="s">
        <v>67</v>
      </c>
      <c r="C42" s="32">
        <v>1</v>
      </c>
      <c r="D42" s="33" t="s">
        <v>112</v>
      </c>
      <c r="E42" s="32">
        <v>1</v>
      </c>
      <c r="F42" s="32" t="s">
        <v>127</v>
      </c>
      <c r="G42" s="34">
        <v>1</v>
      </c>
      <c r="H42" s="35" t="s">
        <v>112</v>
      </c>
      <c r="I42" s="34">
        <v>1</v>
      </c>
      <c r="J42" s="34" t="s">
        <v>127</v>
      </c>
      <c r="K42" s="36">
        <v>1</v>
      </c>
      <c r="L42" s="37" t="s">
        <v>124</v>
      </c>
      <c r="M42" s="36">
        <v>1</v>
      </c>
      <c r="N42" s="36" t="s">
        <v>12</v>
      </c>
    </row>
    <row r="43" spans="1:14" s="40" customFormat="1" x14ac:dyDescent="0.35">
      <c r="A43" s="38">
        <v>204542</v>
      </c>
      <c r="B43" s="39" t="s">
        <v>68</v>
      </c>
      <c r="C43" s="32">
        <v>3</v>
      </c>
      <c r="D43" s="33" t="s">
        <v>112</v>
      </c>
      <c r="E43" s="32" t="s">
        <v>129</v>
      </c>
      <c r="F43" s="32" t="s">
        <v>129</v>
      </c>
      <c r="G43" s="34">
        <v>4</v>
      </c>
      <c r="H43" s="35" t="s">
        <v>112</v>
      </c>
      <c r="I43" s="34" t="s">
        <v>129</v>
      </c>
      <c r="J43" s="34" t="s">
        <v>129</v>
      </c>
      <c r="K43" s="36">
        <v>7</v>
      </c>
      <c r="L43" s="37" t="s">
        <v>161</v>
      </c>
      <c r="M43" s="36" t="s">
        <v>129</v>
      </c>
      <c r="N43" s="36" t="s">
        <v>129</v>
      </c>
    </row>
    <row r="44" spans="1:14" s="40" customFormat="1" x14ac:dyDescent="0.35">
      <c r="A44" s="30">
        <v>206804</v>
      </c>
      <c r="B44" s="31" t="s">
        <v>70</v>
      </c>
      <c r="C44" s="32">
        <v>1</v>
      </c>
      <c r="D44" s="33" t="s">
        <v>115</v>
      </c>
      <c r="E44" s="32" t="s">
        <v>129</v>
      </c>
      <c r="F44" s="32" t="s">
        <v>129</v>
      </c>
      <c r="G44" s="34">
        <v>1</v>
      </c>
      <c r="H44" s="35" t="s">
        <v>115</v>
      </c>
      <c r="I44" s="34" t="s">
        <v>129</v>
      </c>
      <c r="J44" s="34" t="s">
        <v>129</v>
      </c>
      <c r="K44" s="36">
        <v>1</v>
      </c>
      <c r="L44" s="37" t="s">
        <v>113</v>
      </c>
      <c r="M44" s="36" t="s">
        <v>129</v>
      </c>
      <c r="N44" s="36" t="s">
        <v>129</v>
      </c>
    </row>
    <row r="45" spans="1:14" s="40" customFormat="1" x14ac:dyDescent="0.35">
      <c r="A45" s="38">
        <v>201744</v>
      </c>
      <c r="B45" s="39" t="s">
        <v>71</v>
      </c>
      <c r="C45" s="32" t="s">
        <v>129</v>
      </c>
      <c r="D45" s="32" t="s">
        <v>129</v>
      </c>
      <c r="E45" s="32" t="s">
        <v>129</v>
      </c>
      <c r="F45" s="32" t="s">
        <v>129</v>
      </c>
      <c r="G45" s="34" t="s">
        <v>129</v>
      </c>
      <c r="H45" s="34" t="s">
        <v>129</v>
      </c>
      <c r="I45" s="34" t="s">
        <v>129</v>
      </c>
      <c r="J45" s="34" t="s">
        <v>129</v>
      </c>
      <c r="K45" s="36">
        <v>2</v>
      </c>
      <c r="L45" s="37" t="s">
        <v>124</v>
      </c>
      <c r="M45" s="36">
        <v>1</v>
      </c>
      <c r="N45" s="36" t="s">
        <v>12</v>
      </c>
    </row>
    <row r="46" spans="1:14" s="40" customFormat="1" x14ac:dyDescent="0.35">
      <c r="A46" s="30">
        <v>204622</v>
      </c>
      <c r="B46" s="31" t="s">
        <v>72</v>
      </c>
      <c r="C46" s="32">
        <v>1</v>
      </c>
      <c r="D46" s="33" t="s">
        <v>162</v>
      </c>
      <c r="E46" s="32">
        <v>1</v>
      </c>
      <c r="F46" s="32" t="s">
        <v>152</v>
      </c>
      <c r="G46" s="34" t="s">
        <v>129</v>
      </c>
      <c r="H46" s="34" t="s">
        <v>129</v>
      </c>
      <c r="I46" s="34" t="s">
        <v>129</v>
      </c>
      <c r="J46" s="34" t="s">
        <v>129</v>
      </c>
      <c r="K46" s="36" t="s">
        <v>129</v>
      </c>
      <c r="L46" s="36" t="s">
        <v>129</v>
      </c>
      <c r="M46" s="36" t="s">
        <v>129</v>
      </c>
      <c r="N46" s="36" t="s">
        <v>129</v>
      </c>
    </row>
    <row r="47" spans="1:14" s="40" customFormat="1" x14ac:dyDescent="0.35">
      <c r="A47" s="38">
        <v>201000</v>
      </c>
      <c r="B47" s="39" t="s">
        <v>73</v>
      </c>
      <c r="C47" s="32" t="s">
        <v>129</v>
      </c>
      <c r="D47" s="32" t="s">
        <v>129</v>
      </c>
      <c r="E47" s="32" t="s">
        <v>129</v>
      </c>
      <c r="F47" s="32" t="s">
        <v>129</v>
      </c>
      <c r="G47" s="34" t="s">
        <v>129</v>
      </c>
      <c r="H47" s="34" t="s">
        <v>129</v>
      </c>
      <c r="I47" s="34" t="s">
        <v>129</v>
      </c>
      <c r="J47" s="34" t="s">
        <v>129</v>
      </c>
      <c r="K47" s="36" t="s">
        <v>129</v>
      </c>
      <c r="L47" s="36" t="s">
        <v>129</v>
      </c>
      <c r="M47" s="36" t="s">
        <v>129</v>
      </c>
      <c r="N47" s="36" t="s">
        <v>129</v>
      </c>
    </row>
    <row r="48" spans="1:14" s="40" customFormat="1" x14ac:dyDescent="0.35">
      <c r="A48" s="30">
        <v>201002</v>
      </c>
      <c r="B48" s="31" t="s">
        <v>74</v>
      </c>
      <c r="C48" s="32" t="s">
        <v>129</v>
      </c>
      <c r="D48" s="32" t="s">
        <v>129</v>
      </c>
      <c r="E48" s="32" t="s">
        <v>129</v>
      </c>
      <c r="F48" s="32" t="s">
        <v>129</v>
      </c>
      <c r="G48" s="34" t="s">
        <v>129</v>
      </c>
      <c r="H48" s="34" t="s">
        <v>129</v>
      </c>
      <c r="I48" s="34" t="s">
        <v>129</v>
      </c>
      <c r="J48" s="34" t="s">
        <v>129</v>
      </c>
      <c r="K48" s="36" t="s">
        <v>129</v>
      </c>
      <c r="L48" s="36" t="s">
        <v>129</v>
      </c>
      <c r="M48" s="36" t="s">
        <v>129</v>
      </c>
      <c r="N48" s="36" t="s">
        <v>129</v>
      </c>
    </row>
    <row r="49" spans="1:14" s="40" customFormat="1" x14ac:dyDescent="0.35">
      <c r="A49" s="38">
        <v>202475</v>
      </c>
      <c r="B49" s="39" t="s">
        <v>75</v>
      </c>
      <c r="C49" s="32" t="s">
        <v>129</v>
      </c>
      <c r="D49" s="32" t="s">
        <v>129</v>
      </c>
      <c r="E49" s="32" t="s">
        <v>129</v>
      </c>
      <c r="F49" s="32" t="s">
        <v>129</v>
      </c>
      <c r="G49" s="34">
        <v>1</v>
      </c>
      <c r="H49" s="35" t="s">
        <v>112</v>
      </c>
      <c r="I49" s="34">
        <v>3</v>
      </c>
      <c r="J49" s="34" t="s">
        <v>123</v>
      </c>
      <c r="K49" s="36">
        <v>1</v>
      </c>
      <c r="L49" s="37" t="s">
        <v>112</v>
      </c>
      <c r="M49" s="36">
        <v>1</v>
      </c>
      <c r="N49" s="36" t="s">
        <v>12</v>
      </c>
    </row>
    <row r="50" spans="1:14" s="40" customFormat="1" x14ac:dyDescent="0.35">
      <c r="A50" s="30">
        <v>202473</v>
      </c>
      <c r="B50" s="31" t="s">
        <v>76</v>
      </c>
      <c r="C50" s="32" t="s">
        <v>129</v>
      </c>
      <c r="D50" s="32" t="s">
        <v>129</v>
      </c>
      <c r="E50" s="32" t="s">
        <v>129</v>
      </c>
      <c r="F50" s="32" t="s">
        <v>129</v>
      </c>
      <c r="G50" s="34">
        <v>1</v>
      </c>
      <c r="H50" s="35" t="s">
        <v>112</v>
      </c>
      <c r="I50" s="34">
        <v>1</v>
      </c>
      <c r="J50" s="34" t="s">
        <v>127</v>
      </c>
      <c r="K50" s="36">
        <v>1</v>
      </c>
      <c r="L50" s="37" t="s">
        <v>124</v>
      </c>
      <c r="M50" s="36">
        <v>1</v>
      </c>
      <c r="N50" s="36" t="s">
        <v>12</v>
      </c>
    </row>
    <row r="51" spans="1:14" s="40" customFormat="1" x14ac:dyDescent="0.35">
      <c r="A51" s="38">
        <v>202472</v>
      </c>
      <c r="B51" s="39" t="s">
        <v>77</v>
      </c>
      <c r="C51" s="32">
        <v>1</v>
      </c>
      <c r="D51" s="33" t="s">
        <v>120</v>
      </c>
      <c r="E51" s="32">
        <v>1</v>
      </c>
      <c r="F51" s="32" t="s">
        <v>127</v>
      </c>
      <c r="G51" s="34" t="s">
        <v>129</v>
      </c>
      <c r="H51" s="34" t="s">
        <v>129</v>
      </c>
      <c r="I51" s="34" t="s">
        <v>129</v>
      </c>
      <c r="J51" s="34" t="s">
        <v>129</v>
      </c>
      <c r="K51" s="36" t="s">
        <v>129</v>
      </c>
      <c r="L51" s="36" t="s">
        <v>129</v>
      </c>
      <c r="M51" s="36" t="s">
        <v>129</v>
      </c>
      <c r="N51" s="36" t="s">
        <v>129</v>
      </c>
    </row>
    <row r="52" spans="1:14" s="40" customFormat="1" x14ac:dyDescent="0.35">
      <c r="A52" s="30">
        <v>201037</v>
      </c>
      <c r="B52" s="31" t="s">
        <v>78</v>
      </c>
      <c r="C52" s="32">
        <v>3</v>
      </c>
      <c r="D52" s="33" t="s">
        <v>163</v>
      </c>
      <c r="E52" s="32" t="s">
        <v>80</v>
      </c>
      <c r="F52" s="32" t="s">
        <v>12</v>
      </c>
      <c r="G52" s="34">
        <v>1</v>
      </c>
      <c r="H52" s="35" t="s">
        <v>119</v>
      </c>
      <c r="I52" s="34" t="s">
        <v>129</v>
      </c>
      <c r="J52" s="34" t="s">
        <v>129</v>
      </c>
      <c r="K52" s="36" t="s">
        <v>129</v>
      </c>
      <c r="L52" s="36" t="s">
        <v>129</v>
      </c>
      <c r="M52" s="36" t="s">
        <v>129</v>
      </c>
      <c r="N52" s="36" t="s">
        <v>129</v>
      </c>
    </row>
    <row r="53" spans="1:14" s="40" customFormat="1" x14ac:dyDescent="0.35">
      <c r="A53" s="38">
        <v>202426</v>
      </c>
      <c r="B53" s="39" t="s">
        <v>81</v>
      </c>
      <c r="C53" s="32" t="s">
        <v>129</v>
      </c>
      <c r="D53" s="32" t="s">
        <v>129</v>
      </c>
      <c r="E53" s="32" t="s">
        <v>129</v>
      </c>
      <c r="F53" s="32" t="s">
        <v>129</v>
      </c>
      <c r="G53" s="34">
        <v>1</v>
      </c>
      <c r="H53" s="35" t="s">
        <v>115</v>
      </c>
      <c r="I53" s="34">
        <v>3</v>
      </c>
      <c r="J53" s="34" t="s">
        <v>123</v>
      </c>
      <c r="K53" s="36">
        <v>1</v>
      </c>
      <c r="L53" s="37" t="s">
        <v>113</v>
      </c>
      <c r="M53" s="36">
        <v>1</v>
      </c>
      <c r="N53" s="36" t="s">
        <v>12</v>
      </c>
    </row>
    <row r="54" spans="1:14" s="40" customFormat="1" x14ac:dyDescent="0.35">
      <c r="A54" s="30">
        <v>202427</v>
      </c>
      <c r="B54" s="31" t="s">
        <v>82</v>
      </c>
      <c r="C54" s="32">
        <v>1</v>
      </c>
      <c r="D54" s="33" t="s">
        <v>121</v>
      </c>
      <c r="E54" s="32">
        <v>1</v>
      </c>
      <c r="F54" s="32" t="s">
        <v>154</v>
      </c>
      <c r="G54" s="34" t="s">
        <v>129</v>
      </c>
      <c r="H54" s="34" t="s">
        <v>129</v>
      </c>
      <c r="I54" s="34" t="s">
        <v>129</v>
      </c>
      <c r="J54" s="34" t="s">
        <v>129</v>
      </c>
      <c r="K54" s="36" t="s">
        <v>129</v>
      </c>
      <c r="L54" s="36" t="s">
        <v>129</v>
      </c>
      <c r="M54" s="36" t="s">
        <v>129</v>
      </c>
      <c r="N54" s="36" t="s">
        <v>129</v>
      </c>
    </row>
    <row r="55" spans="1:14" s="40" customFormat="1" x14ac:dyDescent="0.35">
      <c r="A55" s="38">
        <v>204885</v>
      </c>
      <c r="B55" s="39" t="s">
        <v>83</v>
      </c>
      <c r="C55" s="32">
        <v>1</v>
      </c>
      <c r="D55" s="33" t="s">
        <v>112</v>
      </c>
      <c r="E55" s="32" t="s">
        <v>129</v>
      </c>
      <c r="F55" s="32" t="s">
        <v>129</v>
      </c>
      <c r="G55" s="34">
        <v>1</v>
      </c>
      <c r="H55" s="35" t="s">
        <v>112</v>
      </c>
      <c r="I55" s="34" t="s">
        <v>129</v>
      </c>
      <c r="J55" s="34" t="s">
        <v>129</v>
      </c>
      <c r="K55" s="36">
        <v>10</v>
      </c>
      <c r="L55" s="37" t="s">
        <v>164</v>
      </c>
      <c r="M55" s="36" t="s">
        <v>129</v>
      </c>
      <c r="N55" s="36" t="s">
        <v>129</v>
      </c>
    </row>
    <row r="56" spans="1:14" s="40" customFormat="1" x14ac:dyDescent="0.35">
      <c r="A56" s="30">
        <v>202253</v>
      </c>
      <c r="B56" s="31" t="s">
        <v>84</v>
      </c>
      <c r="C56" s="32" t="s">
        <v>129</v>
      </c>
      <c r="D56" s="32" t="s">
        <v>129</v>
      </c>
      <c r="E56" s="32" t="s">
        <v>129</v>
      </c>
      <c r="F56" s="32" t="s">
        <v>129</v>
      </c>
      <c r="G56" s="34">
        <v>1</v>
      </c>
      <c r="H56" s="35" t="s">
        <v>112</v>
      </c>
      <c r="I56" s="34" t="s">
        <v>129</v>
      </c>
      <c r="J56" s="34" t="s">
        <v>127</v>
      </c>
      <c r="K56" s="36">
        <v>1</v>
      </c>
      <c r="L56" s="37" t="s">
        <v>157</v>
      </c>
      <c r="M56" s="36">
        <v>1</v>
      </c>
      <c r="N56" s="36" t="s">
        <v>12</v>
      </c>
    </row>
    <row r="57" spans="1:14" s="40" customFormat="1" x14ac:dyDescent="0.35">
      <c r="A57" s="38">
        <v>202254</v>
      </c>
      <c r="B57" s="39" t="s">
        <v>85</v>
      </c>
      <c r="C57" s="32">
        <v>1</v>
      </c>
      <c r="D57" s="33" t="s">
        <v>120</v>
      </c>
      <c r="E57" s="32">
        <v>1</v>
      </c>
      <c r="F57" s="32" t="s">
        <v>12</v>
      </c>
      <c r="G57" s="34" t="s">
        <v>129</v>
      </c>
      <c r="H57" s="34" t="s">
        <v>129</v>
      </c>
      <c r="I57" s="34" t="s">
        <v>129</v>
      </c>
      <c r="J57" s="34" t="s">
        <v>129</v>
      </c>
      <c r="K57" s="36" t="s">
        <v>129</v>
      </c>
      <c r="L57" s="36" t="s">
        <v>129</v>
      </c>
      <c r="M57" s="36" t="s">
        <v>129</v>
      </c>
      <c r="N57" s="36" t="s">
        <v>129</v>
      </c>
    </row>
    <row r="58" spans="1:14" s="40" customFormat="1" x14ac:dyDescent="0.35">
      <c r="A58" s="30">
        <v>202432</v>
      </c>
      <c r="B58" s="31" t="s">
        <v>86</v>
      </c>
      <c r="C58" s="32">
        <v>1</v>
      </c>
      <c r="D58" s="33" t="s">
        <v>121</v>
      </c>
      <c r="E58" s="32">
        <v>1</v>
      </c>
      <c r="F58" s="32" t="s">
        <v>154</v>
      </c>
      <c r="G58" s="34" t="s">
        <v>129</v>
      </c>
      <c r="H58" s="34" t="s">
        <v>129</v>
      </c>
      <c r="I58" s="34" t="s">
        <v>129</v>
      </c>
      <c r="J58" s="34" t="s">
        <v>129</v>
      </c>
      <c r="K58" s="36" t="s">
        <v>129</v>
      </c>
      <c r="L58" s="36" t="s">
        <v>129</v>
      </c>
      <c r="M58" s="36" t="s">
        <v>129</v>
      </c>
      <c r="N58" s="36" t="s">
        <v>129</v>
      </c>
    </row>
    <row r="59" spans="1:14" s="40" customFormat="1" x14ac:dyDescent="0.35">
      <c r="A59" s="38">
        <v>202440</v>
      </c>
      <c r="B59" s="39" t="s">
        <v>86</v>
      </c>
      <c r="C59" s="32" t="s">
        <v>129</v>
      </c>
      <c r="D59" s="32" t="s">
        <v>129</v>
      </c>
      <c r="E59" s="32" t="s">
        <v>129</v>
      </c>
      <c r="F59" s="32" t="s">
        <v>129</v>
      </c>
      <c r="G59" s="34">
        <v>1</v>
      </c>
      <c r="H59" s="35" t="s">
        <v>115</v>
      </c>
      <c r="I59" s="34">
        <v>3</v>
      </c>
      <c r="J59" s="34" t="s">
        <v>123</v>
      </c>
      <c r="K59" s="36">
        <v>2</v>
      </c>
      <c r="L59" s="37" t="s">
        <v>124</v>
      </c>
      <c r="M59" s="36">
        <v>1</v>
      </c>
      <c r="N59" s="36" t="s">
        <v>12</v>
      </c>
    </row>
    <row r="60" spans="1:14" s="40" customFormat="1" x14ac:dyDescent="0.35">
      <c r="A60" s="30">
        <v>202251</v>
      </c>
      <c r="B60" s="31" t="s">
        <v>87</v>
      </c>
      <c r="C60" s="32" t="s">
        <v>129</v>
      </c>
      <c r="D60" s="32" t="s">
        <v>129</v>
      </c>
      <c r="E60" s="32" t="s">
        <v>129</v>
      </c>
      <c r="F60" s="32" t="s">
        <v>129</v>
      </c>
      <c r="G60" s="34">
        <v>1</v>
      </c>
      <c r="H60" s="35" t="s">
        <v>115</v>
      </c>
      <c r="I60" s="34">
        <v>3</v>
      </c>
      <c r="J60" s="34" t="s">
        <v>123</v>
      </c>
      <c r="K60" s="36">
        <v>1</v>
      </c>
      <c r="L60" s="37" t="s">
        <v>156</v>
      </c>
      <c r="M60" s="36">
        <v>3</v>
      </c>
      <c r="N60" s="36" t="s">
        <v>165</v>
      </c>
    </row>
    <row r="61" spans="1:14" s="40" customFormat="1" x14ac:dyDescent="0.35">
      <c r="A61" s="38">
        <v>202252</v>
      </c>
      <c r="B61" s="39" t="s">
        <v>87</v>
      </c>
      <c r="C61" s="32">
        <v>1</v>
      </c>
      <c r="D61" s="33" t="s">
        <v>119</v>
      </c>
      <c r="E61" s="32">
        <v>1</v>
      </c>
      <c r="F61" s="32" t="s">
        <v>12</v>
      </c>
      <c r="G61" s="34" t="s">
        <v>129</v>
      </c>
      <c r="H61" s="34" t="s">
        <v>129</v>
      </c>
      <c r="I61" s="34" t="s">
        <v>129</v>
      </c>
      <c r="J61" s="34" t="s">
        <v>129</v>
      </c>
      <c r="K61" s="36" t="s">
        <v>129</v>
      </c>
      <c r="L61" s="36" t="s">
        <v>129</v>
      </c>
      <c r="M61" s="36" t="s">
        <v>129</v>
      </c>
      <c r="N61" s="36" t="s">
        <v>129</v>
      </c>
    </row>
    <row r="62" spans="1:14" s="40" customFormat="1" x14ac:dyDescent="0.35">
      <c r="A62" s="30">
        <v>205216</v>
      </c>
      <c r="B62" s="31" t="s">
        <v>89</v>
      </c>
      <c r="C62" s="32" t="s">
        <v>129</v>
      </c>
      <c r="D62" s="32" t="s">
        <v>129</v>
      </c>
      <c r="E62" s="32" t="s">
        <v>129</v>
      </c>
      <c r="F62" s="32" t="s">
        <v>129</v>
      </c>
      <c r="G62" s="34" t="s">
        <v>129</v>
      </c>
      <c r="H62" s="34" t="s">
        <v>129</v>
      </c>
      <c r="I62" s="34" t="s">
        <v>129</v>
      </c>
      <c r="J62" s="34" t="s">
        <v>129</v>
      </c>
      <c r="K62" s="36" t="s">
        <v>129</v>
      </c>
      <c r="L62" s="36" t="s">
        <v>129</v>
      </c>
      <c r="M62" s="36" t="s">
        <v>129</v>
      </c>
      <c r="N62" s="36" t="s">
        <v>129</v>
      </c>
    </row>
    <row r="63" spans="1:14" s="40" customFormat="1" x14ac:dyDescent="0.35">
      <c r="A63" s="38">
        <v>202476</v>
      </c>
      <c r="B63" s="39" t="s">
        <v>90</v>
      </c>
      <c r="C63" s="32">
        <v>1</v>
      </c>
      <c r="D63" s="33" t="s">
        <v>113</v>
      </c>
      <c r="E63" s="32">
        <v>1</v>
      </c>
      <c r="F63" s="32" t="s">
        <v>152</v>
      </c>
      <c r="G63" s="34">
        <v>1</v>
      </c>
      <c r="H63" s="35" t="s">
        <v>113</v>
      </c>
      <c r="I63" s="34">
        <v>1</v>
      </c>
      <c r="J63" s="34" t="s">
        <v>127</v>
      </c>
      <c r="K63" s="36">
        <v>1</v>
      </c>
      <c r="L63" s="37" t="s">
        <v>124</v>
      </c>
      <c r="M63" s="36">
        <v>1</v>
      </c>
      <c r="N63" s="36" t="s">
        <v>152</v>
      </c>
    </row>
    <row r="64" spans="1:14" s="40" customFormat="1" x14ac:dyDescent="0.35">
      <c r="A64" s="30">
        <v>157410</v>
      </c>
      <c r="B64" s="31" t="s">
        <v>91</v>
      </c>
      <c r="C64" s="32">
        <v>1</v>
      </c>
      <c r="D64" s="33" t="s">
        <v>118</v>
      </c>
      <c r="E64" s="32" t="s">
        <v>129</v>
      </c>
      <c r="F64" s="32" t="s">
        <v>129</v>
      </c>
      <c r="G64" s="34" t="s">
        <v>129</v>
      </c>
      <c r="H64" s="34" t="s">
        <v>129</v>
      </c>
      <c r="I64" s="34" t="s">
        <v>129</v>
      </c>
      <c r="J64" s="34" t="s">
        <v>129</v>
      </c>
      <c r="K64" s="36" t="s">
        <v>129</v>
      </c>
      <c r="L64" s="36" t="s">
        <v>129</v>
      </c>
      <c r="M64" s="36" t="s">
        <v>129</v>
      </c>
      <c r="N64" s="36" t="s">
        <v>129</v>
      </c>
    </row>
    <row r="65" spans="1:14" s="40" customFormat="1" x14ac:dyDescent="0.35">
      <c r="A65" s="38">
        <v>210896</v>
      </c>
      <c r="B65" s="39" t="s">
        <v>92</v>
      </c>
      <c r="C65" s="32" t="s">
        <v>129</v>
      </c>
      <c r="D65" s="32" t="s">
        <v>129</v>
      </c>
      <c r="E65" s="32" t="s">
        <v>129</v>
      </c>
      <c r="F65" s="32" t="s">
        <v>129</v>
      </c>
      <c r="G65" s="34" t="s">
        <v>129</v>
      </c>
      <c r="H65" s="34" t="s">
        <v>129</v>
      </c>
      <c r="I65" s="34" t="s">
        <v>129</v>
      </c>
      <c r="J65" s="34" t="s">
        <v>129</v>
      </c>
      <c r="K65" s="36" t="s">
        <v>129</v>
      </c>
      <c r="L65" s="36" t="s">
        <v>129</v>
      </c>
      <c r="M65" s="36" t="s">
        <v>129</v>
      </c>
      <c r="N65" s="36" t="s">
        <v>129</v>
      </c>
    </row>
    <row r="66" spans="1:14" s="40" customFormat="1" x14ac:dyDescent="0.35">
      <c r="A66" s="30">
        <v>201001</v>
      </c>
      <c r="B66" s="31" t="s">
        <v>93</v>
      </c>
      <c r="C66" s="32" t="s">
        <v>129</v>
      </c>
      <c r="D66" s="32" t="s">
        <v>129</v>
      </c>
      <c r="E66" s="32" t="s">
        <v>129</v>
      </c>
      <c r="F66" s="32" t="s">
        <v>129</v>
      </c>
      <c r="G66" s="34" t="s">
        <v>129</v>
      </c>
      <c r="H66" s="34" t="s">
        <v>129</v>
      </c>
      <c r="I66" s="34" t="s">
        <v>129</v>
      </c>
      <c r="J66" s="34" t="s">
        <v>129</v>
      </c>
      <c r="K66" s="36" t="s">
        <v>129</v>
      </c>
      <c r="L66" s="36" t="s">
        <v>129</v>
      </c>
      <c r="M66" s="36" t="s">
        <v>129</v>
      </c>
      <c r="N66" s="36" t="s">
        <v>129</v>
      </c>
    </row>
    <row r="67" spans="1:14" s="40" customFormat="1" x14ac:dyDescent="0.35">
      <c r="A67" s="38">
        <v>206088</v>
      </c>
      <c r="B67" s="39" t="s">
        <v>94</v>
      </c>
      <c r="C67" s="32" t="s">
        <v>129</v>
      </c>
      <c r="D67" s="32" t="s">
        <v>129</v>
      </c>
      <c r="E67" s="32" t="s">
        <v>129</v>
      </c>
      <c r="F67" s="32" t="s">
        <v>129</v>
      </c>
      <c r="G67" s="34" t="s">
        <v>129</v>
      </c>
      <c r="H67" s="34" t="s">
        <v>129</v>
      </c>
      <c r="I67" s="34" t="s">
        <v>129</v>
      </c>
      <c r="J67" s="34" t="s">
        <v>129</v>
      </c>
      <c r="K67" s="36" t="s">
        <v>129</v>
      </c>
      <c r="L67" s="36" t="s">
        <v>129</v>
      </c>
      <c r="M67" s="36" t="s">
        <v>129</v>
      </c>
      <c r="N67" s="36" t="s">
        <v>129</v>
      </c>
    </row>
    <row r="68" spans="1:14" s="40" customFormat="1" x14ac:dyDescent="0.35">
      <c r="A68" s="30">
        <v>201033</v>
      </c>
      <c r="B68" s="31" t="s">
        <v>95</v>
      </c>
      <c r="C68" s="32">
        <v>2</v>
      </c>
      <c r="D68" s="33" t="s">
        <v>112</v>
      </c>
      <c r="E68" s="32">
        <v>4</v>
      </c>
      <c r="F68" s="32" t="s">
        <v>166</v>
      </c>
      <c r="G68" s="34">
        <v>1</v>
      </c>
      <c r="H68" s="35" t="s">
        <v>112</v>
      </c>
      <c r="I68" s="34">
        <v>3</v>
      </c>
      <c r="J68" s="34" t="s">
        <v>123</v>
      </c>
      <c r="K68" s="36">
        <v>2</v>
      </c>
      <c r="L68" s="37" t="s">
        <v>124</v>
      </c>
      <c r="M68" s="36">
        <v>1</v>
      </c>
      <c r="N68" s="36" t="s">
        <v>12</v>
      </c>
    </row>
    <row r="69" spans="1:14" s="40" customFormat="1" x14ac:dyDescent="0.35">
      <c r="A69" s="38">
        <v>201034</v>
      </c>
      <c r="B69" s="39" t="s">
        <v>97</v>
      </c>
      <c r="C69" s="32">
        <v>3</v>
      </c>
      <c r="D69" s="33" t="s">
        <v>113</v>
      </c>
      <c r="E69" s="32">
        <v>4</v>
      </c>
      <c r="F69" s="32" t="s">
        <v>166</v>
      </c>
      <c r="G69" s="34">
        <v>2</v>
      </c>
      <c r="H69" s="35" t="s">
        <v>113</v>
      </c>
      <c r="I69" s="34">
        <v>3</v>
      </c>
      <c r="J69" s="34" t="s">
        <v>123</v>
      </c>
      <c r="K69" s="36" t="s">
        <v>129</v>
      </c>
      <c r="L69" s="36" t="s">
        <v>129</v>
      </c>
      <c r="M69" s="36" t="s">
        <v>129</v>
      </c>
      <c r="N69" s="36" t="s">
        <v>129</v>
      </c>
    </row>
    <row r="70" spans="1:14" s="40" customFormat="1" x14ac:dyDescent="0.35">
      <c r="A70" s="30">
        <v>201032</v>
      </c>
      <c r="B70" s="31" t="s">
        <v>98</v>
      </c>
      <c r="C70" s="32">
        <v>1</v>
      </c>
      <c r="D70" s="33" t="s">
        <v>112</v>
      </c>
      <c r="E70" s="32">
        <v>4</v>
      </c>
      <c r="F70" s="32" t="s">
        <v>166</v>
      </c>
      <c r="G70" s="34">
        <v>1</v>
      </c>
      <c r="H70" s="35" t="s">
        <v>112</v>
      </c>
      <c r="I70" s="34">
        <v>2</v>
      </c>
      <c r="J70" s="34" t="s">
        <v>130</v>
      </c>
      <c r="K70" s="36">
        <v>1</v>
      </c>
      <c r="L70" s="37" t="s">
        <v>124</v>
      </c>
      <c r="M70" s="36">
        <v>1</v>
      </c>
      <c r="N70" s="36" t="s">
        <v>12</v>
      </c>
    </row>
    <row r="71" spans="1:14" s="40" customFormat="1" x14ac:dyDescent="0.35">
      <c r="A71" s="38">
        <v>201030</v>
      </c>
      <c r="B71" s="39" t="s">
        <v>99</v>
      </c>
      <c r="C71" s="32">
        <v>1</v>
      </c>
      <c r="D71" s="33" t="s">
        <v>112</v>
      </c>
      <c r="E71" s="32">
        <v>4</v>
      </c>
      <c r="F71" s="32" t="s">
        <v>166</v>
      </c>
      <c r="G71" s="34">
        <v>1</v>
      </c>
      <c r="H71" s="35" t="s">
        <v>112</v>
      </c>
      <c r="I71" s="34">
        <v>2</v>
      </c>
      <c r="J71" s="34" t="s">
        <v>137</v>
      </c>
      <c r="K71" s="36">
        <v>1</v>
      </c>
      <c r="L71" s="37" t="s">
        <v>124</v>
      </c>
      <c r="M71" s="36">
        <v>1</v>
      </c>
      <c r="N71" s="36" t="s">
        <v>12</v>
      </c>
    </row>
    <row r="72" spans="1:14" s="40" customFormat="1" x14ac:dyDescent="0.35">
      <c r="A72" s="30">
        <v>201029</v>
      </c>
      <c r="B72" s="31" t="s">
        <v>100</v>
      </c>
      <c r="C72" s="32">
        <v>1</v>
      </c>
      <c r="D72" s="33" t="s">
        <v>112</v>
      </c>
      <c r="E72" s="32">
        <v>4</v>
      </c>
      <c r="F72" s="32" t="s">
        <v>166</v>
      </c>
      <c r="G72" s="34">
        <v>1</v>
      </c>
      <c r="H72" s="35" t="s">
        <v>112</v>
      </c>
      <c r="I72" s="34">
        <v>2</v>
      </c>
      <c r="J72" s="34" t="s">
        <v>137</v>
      </c>
      <c r="K72" s="36">
        <v>1</v>
      </c>
      <c r="L72" s="37" t="s">
        <v>124</v>
      </c>
      <c r="M72" s="36">
        <v>1</v>
      </c>
      <c r="N72" s="36" t="s">
        <v>12</v>
      </c>
    </row>
    <row r="73" spans="1:14" s="40" customFormat="1" x14ac:dyDescent="0.35">
      <c r="A73" s="38">
        <v>212635</v>
      </c>
      <c r="B73" s="39" t="s">
        <v>101</v>
      </c>
      <c r="C73" s="32">
        <v>5</v>
      </c>
      <c r="D73" s="33" t="s">
        <v>112</v>
      </c>
      <c r="E73" s="32">
        <v>4</v>
      </c>
      <c r="F73" s="32" t="s">
        <v>166</v>
      </c>
      <c r="G73" s="34">
        <v>1</v>
      </c>
      <c r="H73" s="35" t="s">
        <v>113</v>
      </c>
      <c r="I73" s="34">
        <v>3</v>
      </c>
      <c r="J73" s="34" t="s">
        <v>123</v>
      </c>
      <c r="K73" s="36">
        <v>2</v>
      </c>
      <c r="L73" s="37" t="s">
        <v>124</v>
      </c>
      <c r="M73" s="36">
        <v>1</v>
      </c>
      <c r="N73" s="36" t="s">
        <v>12</v>
      </c>
    </row>
    <row r="74" spans="1:14" s="40" customFormat="1" x14ac:dyDescent="0.35">
      <c r="A74" s="30">
        <v>206097</v>
      </c>
      <c r="B74" s="31" t="s">
        <v>102</v>
      </c>
      <c r="C74" s="32">
        <v>1</v>
      </c>
      <c r="D74" s="33" t="s">
        <v>117</v>
      </c>
      <c r="E74" s="32" t="s">
        <v>129</v>
      </c>
      <c r="F74" s="32" t="s">
        <v>129</v>
      </c>
      <c r="G74" s="34" t="s">
        <v>129</v>
      </c>
      <c r="H74" s="34" t="s">
        <v>129</v>
      </c>
      <c r="I74" s="34" t="s">
        <v>129</v>
      </c>
      <c r="J74" s="34" t="s">
        <v>129</v>
      </c>
      <c r="K74" s="36" t="s">
        <v>129</v>
      </c>
      <c r="L74" s="36" t="s">
        <v>129</v>
      </c>
      <c r="M74" s="36" t="s">
        <v>129</v>
      </c>
      <c r="N74" s="36" t="s">
        <v>129</v>
      </c>
    </row>
    <row r="75" spans="1:14" s="40" customFormat="1" x14ac:dyDescent="0.35">
      <c r="A75" s="38">
        <v>201035</v>
      </c>
      <c r="B75" s="39" t="s">
        <v>103</v>
      </c>
      <c r="C75" s="32">
        <v>2</v>
      </c>
      <c r="D75" s="33" t="s">
        <v>112</v>
      </c>
      <c r="E75" s="32">
        <v>4</v>
      </c>
      <c r="F75" s="32" t="s">
        <v>166</v>
      </c>
      <c r="G75" s="34">
        <v>2</v>
      </c>
      <c r="H75" s="35" t="s">
        <v>112</v>
      </c>
      <c r="I75" s="34">
        <v>3</v>
      </c>
      <c r="J75" s="34" t="s">
        <v>123</v>
      </c>
      <c r="K75" s="36" t="s">
        <v>129</v>
      </c>
      <c r="L75" s="36" t="s">
        <v>129</v>
      </c>
      <c r="M75" s="36" t="s">
        <v>129</v>
      </c>
      <c r="N75" s="36" t="s">
        <v>129</v>
      </c>
    </row>
    <row r="76" spans="1:14" s="40" customFormat="1" x14ac:dyDescent="0.35">
      <c r="A76" s="30">
        <v>201036</v>
      </c>
      <c r="B76" s="31" t="s">
        <v>104</v>
      </c>
      <c r="C76" s="32">
        <v>3</v>
      </c>
      <c r="D76" s="33" t="s">
        <v>112</v>
      </c>
      <c r="E76" s="32">
        <v>4</v>
      </c>
      <c r="F76" s="32" t="s">
        <v>166</v>
      </c>
      <c r="G76" s="34">
        <v>1</v>
      </c>
      <c r="H76" s="35" t="s">
        <v>112</v>
      </c>
      <c r="I76" s="34">
        <v>3</v>
      </c>
      <c r="J76" s="34" t="s">
        <v>123</v>
      </c>
      <c r="K76" s="36">
        <v>1</v>
      </c>
      <c r="L76" s="37" t="s">
        <v>112</v>
      </c>
      <c r="M76" s="36">
        <v>1</v>
      </c>
      <c r="N76" s="36" t="s">
        <v>12</v>
      </c>
    </row>
    <row r="77" spans="1:14" s="40" customFormat="1" ht="15" thickBot="1" x14ac:dyDescent="0.4">
      <c r="A77" s="42">
        <v>201028</v>
      </c>
      <c r="B77" s="43" t="s">
        <v>105</v>
      </c>
      <c r="C77" s="41">
        <v>1</v>
      </c>
      <c r="D77" s="44" t="s">
        <v>112</v>
      </c>
      <c r="E77" s="41">
        <v>4</v>
      </c>
      <c r="F77" s="41" t="s">
        <v>166</v>
      </c>
      <c r="G77" s="45">
        <v>1</v>
      </c>
      <c r="H77" s="46" t="s">
        <v>112</v>
      </c>
      <c r="I77" s="45">
        <v>2</v>
      </c>
      <c r="J77" s="45" t="s">
        <v>137</v>
      </c>
      <c r="K77" s="47">
        <v>1</v>
      </c>
      <c r="L77" s="48" t="s">
        <v>124</v>
      </c>
      <c r="M77" s="47">
        <v>1</v>
      </c>
      <c r="N77" s="47" t="s">
        <v>12</v>
      </c>
    </row>
    <row r="78" spans="1:14" s="40" customFormat="1" ht="15" thickBot="1" x14ac:dyDescent="0.4">
      <c r="A78" s="65" t="s">
        <v>168</v>
      </c>
      <c r="B78" s="66"/>
      <c r="C78" s="51">
        <f>SUM(C6:C77)</f>
        <v>102</v>
      </c>
      <c r="D78" s="51"/>
      <c r="E78" s="51"/>
      <c r="F78" s="51"/>
      <c r="G78" s="51">
        <f>SUM(G6:G77)</f>
        <v>86</v>
      </c>
      <c r="H78" s="51"/>
      <c r="I78" s="51"/>
      <c r="J78" s="51"/>
      <c r="K78" s="51">
        <f>SUM(K6:K77)</f>
        <v>112</v>
      </c>
      <c r="L78" s="51"/>
      <c r="M78" s="51"/>
      <c r="N78" s="52"/>
    </row>
  </sheetData>
  <mergeCells count="6">
    <mergeCell ref="A78:B78"/>
    <mergeCell ref="A1:N1"/>
    <mergeCell ref="A3:B3"/>
    <mergeCell ref="C3:F3"/>
    <mergeCell ref="G3:J3"/>
    <mergeCell ref="K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7862-3664-4B98-9BED-436272E3306F}">
  <dimension ref="A3:P85"/>
  <sheetViews>
    <sheetView topLeftCell="A2" zoomScale="90" zoomScaleNormal="90" workbookViewId="0">
      <selection activeCell="A43" sqref="A43:XFD43"/>
    </sheetView>
  </sheetViews>
  <sheetFormatPr defaultRowHeight="14.5" x14ac:dyDescent="0.35"/>
  <sheetData>
    <row r="3" spans="1:16" x14ac:dyDescent="0.35">
      <c r="C3" t="s">
        <v>0</v>
      </c>
    </row>
    <row r="5" spans="1:16" x14ac:dyDescent="0.35">
      <c r="F5" t="s">
        <v>1</v>
      </c>
      <c r="J5" t="s">
        <v>2</v>
      </c>
      <c r="N5" t="s">
        <v>3</v>
      </c>
    </row>
    <row r="7" spans="1:16" ht="15" thickBot="1" x14ac:dyDescent="0.4">
      <c r="E7" t="s">
        <v>4</v>
      </c>
      <c r="F7" t="s">
        <v>5</v>
      </c>
      <c r="G7" t="s">
        <v>6</v>
      </c>
      <c r="H7" t="s">
        <v>7</v>
      </c>
      <c r="I7" t="s">
        <v>4</v>
      </c>
      <c r="J7" t="s">
        <v>5</v>
      </c>
      <c r="K7" t="s">
        <v>6</v>
      </c>
      <c r="L7" t="s">
        <v>7</v>
      </c>
      <c r="M7" t="s">
        <v>4</v>
      </c>
      <c r="N7" t="s">
        <v>5</v>
      </c>
      <c r="O7" t="s">
        <v>6</v>
      </c>
      <c r="P7" t="s">
        <v>7</v>
      </c>
    </row>
    <row r="8" spans="1:16" x14ac:dyDescent="0.35">
      <c r="A8" t="s">
        <v>8</v>
      </c>
      <c r="B8">
        <v>201003</v>
      </c>
      <c r="C8" s="81" t="s">
        <v>9</v>
      </c>
      <c r="D8" s="81"/>
      <c r="E8" s="18"/>
      <c r="F8" s="18" t="s">
        <v>10</v>
      </c>
      <c r="G8" s="18"/>
      <c r="H8" s="18"/>
      <c r="I8" s="19">
        <v>2</v>
      </c>
      <c r="J8" s="20">
        <v>4</v>
      </c>
      <c r="K8" s="21">
        <v>3</v>
      </c>
      <c r="L8" s="22" t="s">
        <v>11</v>
      </c>
      <c r="M8" s="23">
        <v>1</v>
      </c>
      <c r="N8" s="23">
        <v>64</v>
      </c>
      <c r="O8" s="23">
        <v>1</v>
      </c>
      <c r="P8" s="23" t="s">
        <v>12</v>
      </c>
    </row>
    <row r="9" spans="1:16" x14ac:dyDescent="0.35">
      <c r="A9" t="s">
        <v>8</v>
      </c>
      <c r="B9" s="25"/>
      <c r="C9" s="80"/>
      <c r="D9" s="80"/>
      <c r="E9" s="11">
        <v>0</v>
      </c>
      <c r="F9" s="11">
        <v>0</v>
      </c>
      <c r="G9" s="11">
        <v>0</v>
      </c>
      <c r="H9" s="7"/>
      <c r="I9" s="8"/>
      <c r="J9" s="9"/>
      <c r="K9" s="9">
        <v>0</v>
      </c>
      <c r="L9" s="10"/>
      <c r="M9" s="6">
        <v>0</v>
      </c>
      <c r="N9" s="6">
        <v>60</v>
      </c>
      <c r="O9" s="6">
        <v>0</v>
      </c>
      <c r="P9" s="6"/>
    </row>
    <row r="10" spans="1:16" x14ac:dyDescent="0.35">
      <c r="A10" t="s">
        <v>8</v>
      </c>
      <c r="B10">
        <v>201005</v>
      </c>
      <c r="C10" s="80" t="s">
        <v>13</v>
      </c>
      <c r="D10" s="80"/>
      <c r="E10" s="11">
        <v>1</v>
      </c>
      <c r="F10" s="11">
        <v>4</v>
      </c>
      <c r="G10" s="11">
        <v>1</v>
      </c>
      <c r="H10" s="11" t="s">
        <v>14</v>
      </c>
      <c r="I10" s="3">
        <v>1</v>
      </c>
      <c r="J10" s="4">
        <v>4</v>
      </c>
      <c r="K10" s="4">
        <v>2</v>
      </c>
      <c r="L10" s="5" t="s">
        <v>15</v>
      </c>
      <c r="M10" s="6">
        <v>1</v>
      </c>
      <c r="N10" s="6">
        <v>64</v>
      </c>
      <c r="O10" s="6">
        <v>1</v>
      </c>
      <c r="P10" s="6" t="s">
        <v>12</v>
      </c>
    </row>
    <row r="11" spans="1:16" x14ac:dyDescent="0.35">
      <c r="A11" t="s">
        <v>8</v>
      </c>
      <c r="B11">
        <v>201006</v>
      </c>
      <c r="C11" s="80" t="s">
        <v>16</v>
      </c>
      <c r="D11" s="80"/>
      <c r="E11" s="11">
        <v>0</v>
      </c>
      <c r="F11" s="12">
        <v>0</v>
      </c>
      <c r="G11" s="11">
        <v>0</v>
      </c>
      <c r="H11" s="11">
        <v>0</v>
      </c>
      <c r="I11" s="4">
        <v>0</v>
      </c>
      <c r="J11" s="4">
        <v>0</v>
      </c>
      <c r="K11" s="4">
        <v>0</v>
      </c>
      <c r="L11" s="5">
        <v>0</v>
      </c>
      <c r="M11" s="6">
        <v>1</v>
      </c>
      <c r="N11" s="6">
        <v>4</v>
      </c>
      <c r="O11" s="6">
        <v>2</v>
      </c>
      <c r="P11" s="6" t="s">
        <v>17</v>
      </c>
    </row>
    <row r="12" spans="1:16" x14ac:dyDescent="0.35">
      <c r="A12" t="s">
        <v>8</v>
      </c>
      <c r="B12">
        <v>201007</v>
      </c>
      <c r="C12" s="80" t="s">
        <v>18</v>
      </c>
      <c r="D12" s="80"/>
      <c r="E12" s="11">
        <v>1</v>
      </c>
      <c r="F12" s="11">
        <v>4</v>
      </c>
      <c r="G12" s="11">
        <v>1</v>
      </c>
      <c r="H12" s="11"/>
      <c r="I12" s="4">
        <v>1</v>
      </c>
      <c r="J12" s="4">
        <v>4</v>
      </c>
      <c r="K12" s="4">
        <v>2</v>
      </c>
      <c r="L12" s="5" t="s">
        <v>19</v>
      </c>
      <c r="M12" s="6">
        <v>1</v>
      </c>
      <c r="N12" s="6">
        <v>64</v>
      </c>
      <c r="O12" s="6">
        <v>1</v>
      </c>
      <c r="P12" s="6"/>
    </row>
    <row r="13" spans="1:16" x14ac:dyDescent="0.35">
      <c r="A13" t="s">
        <v>8</v>
      </c>
      <c r="B13">
        <v>201008</v>
      </c>
      <c r="C13" s="80" t="s">
        <v>20</v>
      </c>
      <c r="D13" s="80"/>
      <c r="E13" s="11">
        <v>1</v>
      </c>
      <c r="F13" s="11">
        <v>4</v>
      </c>
      <c r="G13" s="11">
        <v>1</v>
      </c>
      <c r="H13" s="11" t="s">
        <v>14</v>
      </c>
      <c r="I13" s="4">
        <v>1</v>
      </c>
      <c r="J13" s="4">
        <v>4</v>
      </c>
      <c r="K13" s="4">
        <v>2</v>
      </c>
      <c r="L13" s="5" t="s">
        <v>21</v>
      </c>
      <c r="M13" s="6">
        <v>1</v>
      </c>
      <c r="N13" s="6">
        <v>64</v>
      </c>
      <c r="O13" s="6">
        <v>1</v>
      </c>
      <c r="P13" s="6" t="s">
        <v>12</v>
      </c>
    </row>
    <row r="14" spans="1:16" x14ac:dyDescent="0.35">
      <c r="A14" t="s">
        <v>8</v>
      </c>
      <c r="B14">
        <v>201009</v>
      </c>
      <c r="C14" s="82" t="s">
        <v>22</v>
      </c>
      <c r="D14" s="82"/>
      <c r="E14" s="63">
        <v>1</v>
      </c>
      <c r="F14" s="63">
        <v>4</v>
      </c>
      <c r="G14" s="63">
        <v>1</v>
      </c>
      <c r="H14" s="63" t="s">
        <v>14</v>
      </c>
      <c r="I14" s="63">
        <v>1</v>
      </c>
      <c r="J14" s="63">
        <v>4</v>
      </c>
      <c r="K14" s="63">
        <v>3</v>
      </c>
      <c r="L14" s="64" t="s">
        <v>11</v>
      </c>
      <c r="M14" s="63">
        <v>1</v>
      </c>
      <c r="N14" s="63">
        <v>64</v>
      </c>
      <c r="O14" s="63">
        <v>1</v>
      </c>
      <c r="P14" s="63" t="s">
        <v>12</v>
      </c>
    </row>
    <row r="15" spans="1:16" x14ac:dyDescent="0.35">
      <c r="A15" t="s">
        <v>8</v>
      </c>
      <c r="B15">
        <v>201010</v>
      </c>
      <c r="C15" s="80" t="s">
        <v>23</v>
      </c>
      <c r="D15" s="80"/>
      <c r="E15" s="11">
        <v>1</v>
      </c>
      <c r="F15" s="11">
        <v>4</v>
      </c>
      <c r="G15" s="11">
        <v>1</v>
      </c>
      <c r="H15" s="26" t="s">
        <v>14</v>
      </c>
      <c r="I15" s="4">
        <v>1</v>
      </c>
      <c r="J15" s="4">
        <v>4</v>
      </c>
      <c r="K15" s="4">
        <v>2</v>
      </c>
      <c r="L15" s="5" t="s">
        <v>19</v>
      </c>
      <c r="M15" s="6">
        <v>1</v>
      </c>
      <c r="N15" s="6">
        <v>64</v>
      </c>
      <c r="O15" s="6">
        <v>1</v>
      </c>
      <c r="P15" s="6" t="s">
        <v>12</v>
      </c>
    </row>
    <row r="16" spans="1:16" x14ac:dyDescent="0.35">
      <c r="A16" t="s">
        <v>8</v>
      </c>
      <c r="B16">
        <v>201011</v>
      </c>
      <c r="C16" s="80" t="s">
        <v>24</v>
      </c>
      <c r="D16" s="80"/>
      <c r="E16" s="11"/>
      <c r="F16" s="11"/>
      <c r="G16" s="11"/>
      <c r="H16" s="11"/>
      <c r="I16" s="4">
        <v>2</v>
      </c>
      <c r="J16" s="4">
        <v>4</v>
      </c>
      <c r="K16" s="4">
        <v>1</v>
      </c>
      <c r="L16" s="5" t="s">
        <v>14</v>
      </c>
      <c r="M16" s="6">
        <v>1</v>
      </c>
      <c r="N16" s="6">
        <v>64</v>
      </c>
      <c r="O16" s="6">
        <v>1</v>
      </c>
      <c r="P16" s="6" t="s">
        <v>12</v>
      </c>
    </row>
    <row r="17" spans="1:16" x14ac:dyDescent="0.35">
      <c r="A17" t="s">
        <v>8</v>
      </c>
      <c r="B17">
        <v>201012</v>
      </c>
      <c r="C17" s="80" t="s">
        <v>25</v>
      </c>
      <c r="D17" s="80"/>
      <c r="E17" s="11">
        <v>1</v>
      </c>
      <c r="F17" s="11">
        <v>4</v>
      </c>
      <c r="G17" s="11">
        <v>2</v>
      </c>
      <c r="H17" s="11" t="s">
        <v>26</v>
      </c>
      <c r="I17" s="4">
        <v>2</v>
      </c>
      <c r="J17" s="4">
        <v>4</v>
      </c>
      <c r="K17" s="4">
        <v>3</v>
      </c>
      <c r="L17" s="5" t="s">
        <v>11</v>
      </c>
      <c r="M17" s="6">
        <v>1</v>
      </c>
      <c r="N17" s="6">
        <v>64</v>
      </c>
      <c r="O17" s="6">
        <v>1</v>
      </c>
      <c r="P17" s="6" t="s">
        <v>12</v>
      </c>
    </row>
    <row r="18" spans="1:16" x14ac:dyDescent="0.35">
      <c r="A18" t="s">
        <v>8</v>
      </c>
      <c r="B18">
        <v>201013</v>
      </c>
      <c r="C18" s="80" t="s">
        <v>27</v>
      </c>
      <c r="D18" s="80"/>
      <c r="E18" s="11">
        <v>2</v>
      </c>
      <c r="F18" s="11">
        <v>4</v>
      </c>
      <c r="G18" s="11">
        <v>1</v>
      </c>
      <c r="H18" s="11" t="s">
        <v>14</v>
      </c>
      <c r="I18" s="4">
        <v>4</v>
      </c>
      <c r="J18" s="4">
        <v>4</v>
      </c>
      <c r="K18" s="4">
        <v>2</v>
      </c>
      <c r="L18" s="5" t="s">
        <v>19</v>
      </c>
      <c r="M18" s="6">
        <v>1</v>
      </c>
      <c r="N18" s="6">
        <v>64</v>
      </c>
      <c r="O18" s="6">
        <v>1</v>
      </c>
      <c r="P18" s="6" t="s">
        <v>12</v>
      </c>
    </row>
    <row r="19" spans="1:16" x14ac:dyDescent="0.35">
      <c r="B19" s="25"/>
      <c r="C19" s="80"/>
      <c r="D19" s="80"/>
      <c r="E19" s="7">
        <v>0</v>
      </c>
      <c r="F19" s="7">
        <v>0</v>
      </c>
      <c r="G19" s="7">
        <v>0</v>
      </c>
      <c r="H19" s="7"/>
      <c r="I19" s="9"/>
      <c r="J19" s="9"/>
      <c r="K19" s="9">
        <v>0</v>
      </c>
      <c r="L19" s="10"/>
      <c r="M19" s="6">
        <v>0</v>
      </c>
      <c r="N19" s="6">
        <v>60</v>
      </c>
      <c r="O19" s="6">
        <v>0</v>
      </c>
      <c r="P19" s="6"/>
    </row>
    <row r="20" spans="1:16" x14ac:dyDescent="0.35">
      <c r="A20" t="s">
        <v>8</v>
      </c>
      <c r="B20">
        <v>201018</v>
      </c>
      <c r="C20" s="80" t="s">
        <v>28</v>
      </c>
      <c r="D20" s="80"/>
      <c r="E20" s="11">
        <v>2</v>
      </c>
      <c r="F20" s="11">
        <v>3</v>
      </c>
      <c r="G20" s="11">
        <v>1</v>
      </c>
      <c r="H20" s="11" t="s">
        <v>29</v>
      </c>
      <c r="I20" s="4">
        <v>2</v>
      </c>
      <c r="J20" s="4">
        <v>3</v>
      </c>
      <c r="K20" s="4">
        <v>2</v>
      </c>
      <c r="L20" s="5" t="s">
        <v>21</v>
      </c>
      <c r="M20" s="6">
        <v>1</v>
      </c>
      <c r="N20" s="6">
        <v>64</v>
      </c>
      <c r="O20" s="6">
        <v>1</v>
      </c>
      <c r="P20" s="6" t="s">
        <v>12</v>
      </c>
    </row>
    <row r="21" spans="1:16" x14ac:dyDescent="0.35">
      <c r="A21" t="s">
        <v>8</v>
      </c>
      <c r="B21">
        <v>201019</v>
      </c>
      <c r="C21" s="80" t="s">
        <v>30</v>
      </c>
      <c r="D21" s="80"/>
      <c r="E21" s="11">
        <v>1</v>
      </c>
      <c r="F21" s="11">
        <v>6</v>
      </c>
      <c r="G21" s="11">
        <v>1</v>
      </c>
      <c r="H21" s="11" t="s">
        <v>14</v>
      </c>
      <c r="I21" s="4">
        <v>1</v>
      </c>
      <c r="J21" s="4">
        <v>8</v>
      </c>
      <c r="K21" s="4">
        <v>3</v>
      </c>
      <c r="L21" s="5" t="s">
        <v>11</v>
      </c>
      <c r="M21" s="6">
        <v>1</v>
      </c>
      <c r="N21" s="6">
        <v>64</v>
      </c>
      <c r="O21" s="6">
        <v>1</v>
      </c>
      <c r="P21" s="6" t="s">
        <v>12</v>
      </c>
    </row>
    <row r="22" spans="1:16" x14ac:dyDescent="0.35">
      <c r="A22" t="s">
        <v>8</v>
      </c>
      <c r="B22">
        <v>201020</v>
      </c>
      <c r="C22" s="80" t="s">
        <v>31</v>
      </c>
      <c r="D22" s="80"/>
      <c r="E22" s="11">
        <v>1</v>
      </c>
      <c r="F22" s="11">
        <v>1</v>
      </c>
      <c r="G22" s="11">
        <v>1</v>
      </c>
      <c r="H22" s="11" t="s">
        <v>14</v>
      </c>
      <c r="I22" s="4">
        <v>1</v>
      </c>
      <c r="J22" s="4">
        <v>4</v>
      </c>
      <c r="K22" s="4">
        <v>2</v>
      </c>
      <c r="L22" s="5" t="s">
        <v>21</v>
      </c>
      <c r="M22" s="6">
        <v>1</v>
      </c>
      <c r="N22" s="6">
        <v>64</v>
      </c>
      <c r="O22" s="6">
        <v>1</v>
      </c>
      <c r="P22" s="6" t="s">
        <v>12</v>
      </c>
    </row>
    <row r="23" spans="1:16" x14ac:dyDescent="0.35">
      <c r="A23" t="s">
        <v>8</v>
      </c>
      <c r="B23">
        <v>201021</v>
      </c>
      <c r="C23" s="80" t="s">
        <v>32</v>
      </c>
      <c r="D23" s="80"/>
      <c r="E23" s="11">
        <v>1</v>
      </c>
      <c r="F23" s="11">
        <v>4</v>
      </c>
      <c r="G23" s="11">
        <v>1</v>
      </c>
      <c r="H23" s="11" t="s">
        <v>14</v>
      </c>
      <c r="I23" s="4">
        <v>1</v>
      </c>
      <c r="J23" s="4">
        <v>4</v>
      </c>
      <c r="K23" s="4">
        <v>2</v>
      </c>
      <c r="L23" s="5" t="s">
        <v>21</v>
      </c>
      <c r="M23" s="6">
        <v>1</v>
      </c>
      <c r="N23" s="6">
        <v>64</v>
      </c>
      <c r="O23" s="6">
        <v>1</v>
      </c>
      <c r="P23" s="6" t="s">
        <v>12</v>
      </c>
    </row>
    <row r="24" spans="1:16" x14ac:dyDescent="0.35">
      <c r="A24" t="s">
        <v>8</v>
      </c>
      <c r="B24">
        <v>201022</v>
      </c>
      <c r="C24" s="80" t="s">
        <v>33</v>
      </c>
      <c r="D24" s="80"/>
      <c r="E24" s="11">
        <v>1</v>
      </c>
      <c r="F24" s="11">
        <v>4</v>
      </c>
      <c r="G24" s="11">
        <v>1</v>
      </c>
      <c r="H24" s="11" t="s">
        <v>14</v>
      </c>
      <c r="I24" s="17">
        <v>2</v>
      </c>
      <c r="J24" s="17">
        <v>4</v>
      </c>
      <c r="K24" s="4">
        <v>2</v>
      </c>
      <c r="L24" s="5" t="s">
        <v>21</v>
      </c>
      <c r="M24" s="6">
        <v>1</v>
      </c>
      <c r="N24" s="6">
        <v>64</v>
      </c>
      <c r="O24" s="6">
        <v>1</v>
      </c>
      <c r="P24" s="6" t="s">
        <v>12</v>
      </c>
    </row>
    <row r="25" spans="1:16" x14ac:dyDescent="0.35">
      <c r="A25" t="s">
        <v>8</v>
      </c>
      <c r="B25">
        <v>201023</v>
      </c>
      <c r="C25" s="80" t="s">
        <v>34</v>
      </c>
      <c r="D25" s="80"/>
      <c r="E25" s="11">
        <v>1</v>
      </c>
      <c r="F25" s="11">
        <v>4</v>
      </c>
      <c r="G25" s="11">
        <v>1</v>
      </c>
      <c r="H25" s="15" t="s">
        <v>35</v>
      </c>
      <c r="I25" s="17">
        <v>2</v>
      </c>
      <c r="J25" s="17">
        <v>4</v>
      </c>
      <c r="K25" s="4">
        <v>2</v>
      </c>
      <c r="L25" s="5" t="s">
        <v>21</v>
      </c>
      <c r="M25" s="6">
        <v>1</v>
      </c>
      <c r="N25" s="6">
        <v>64</v>
      </c>
      <c r="O25" s="6">
        <v>1</v>
      </c>
      <c r="P25" s="6" t="s">
        <v>12</v>
      </c>
    </row>
    <row r="26" spans="1:16" x14ac:dyDescent="0.35">
      <c r="A26" t="s">
        <v>8</v>
      </c>
      <c r="B26">
        <v>201024</v>
      </c>
      <c r="C26" s="80" t="s">
        <v>36</v>
      </c>
      <c r="D26" s="80"/>
      <c r="E26" s="11">
        <v>1</v>
      </c>
      <c r="F26" s="11">
        <v>3</v>
      </c>
      <c r="G26" s="11">
        <v>1</v>
      </c>
      <c r="H26" s="11" t="s">
        <v>14</v>
      </c>
      <c r="I26" s="4">
        <v>2</v>
      </c>
      <c r="J26" s="4">
        <v>3</v>
      </c>
      <c r="K26" s="4">
        <v>2</v>
      </c>
      <c r="L26" s="5" t="s">
        <v>21</v>
      </c>
      <c r="M26" s="6">
        <v>1</v>
      </c>
      <c r="N26" s="6">
        <v>64</v>
      </c>
      <c r="O26" s="6">
        <v>1</v>
      </c>
      <c r="P26" s="6" t="s">
        <v>12</v>
      </c>
    </row>
    <row r="27" spans="1:16" x14ac:dyDescent="0.35">
      <c r="A27" t="s">
        <v>8</v>
      </c>
      <c r="B27">
        <v>201025</v>
      </c>
      <c r="C27" s="80" t="s">
        <v>37</v>
      </c>
      <c r="D27" s="80"/>
      <c r="E27" s="11">
        <v>1</v>
      </c>
      <c r="F27" s="11">
        <v>8</v>
      </c>
      <c r="G27" s="11">
        <v>1</v>
      </c>
      <c r="H27" s="11" t="s">
        <v>14</v>
      </c>
      <c r="I27" s="4">
        <v>2</v>
      </c>
      <c r="J27" s="4">
        <v>4</v>
      </c>
      <c r="K27" s="4">
        <v>2</v>
      </c>
      <c r="L27" s="5" t="s">
        <v>21</v>
      </c>
      <c r="M27" s="6">
        <v>1</v>
      </c>
      <c r="N27" s="6">
        <v>64</v>
      </c>
      <c r="O27" s="6">
        <v>1</v>
      </c>
      <c r="P27" s="6" t="s">
        <v>12</v>
      </c>
    </row>
    <row r="28" spans="1:16" x14ac:dyDescent="0.35">
      <c r="A28" t="s">
        <v>8</v>
      </c>
      <c r="B28">
        <v>201026</v>
      </c>
      <c r="C28" s="80" t="s">
        <v>38</v>
      </c>
      <c r="D28" s="80"/>
      <c r="E28" s="11">
        <v>1</v>
      </c>
      <c r="F28" s="11">
        <v>4</v>
      </c>
      <c r="G28" s="11">
        <v>1</v>
      </c>
      <c r="H28" s="11" t="s">
        <v>14</v>
      </c>
      <c r="I28" s="4">
        <v>3</v>
      </c>
      <c r="J28" s="4">
        <v>3</v>
      </c>
      <c r="K28" s="4">
        <v>2</v>
      </c>
      <c r="L28" s="5" t="s">
        <v>21</v>
      </c>
      <c r="M28" s="6">
        <v>1</v>
      </c>
      <c r="N28" s="6">
        <v>64</v>
      </c>
      <c r="O28" s="6">
        <v>1</v>
      </c>
      <c r="P28" s="6" t="s">
        <v>12</v>
      </c>
    </row>
    <row r="29" spans="1:16" ht="15" thickBot="1" x14ac:dyDescent="0.4">
      <c r="B29">
        <v>201027</v>
      </c>
      <c r="C29" s="83" t="s">
        <v>39</v>
      </c>
      <c r="D29" s="83"/>
      <c r="E29" s="13">
        <v>2</v>
      </c>
      <c r="F29" s="13">
        <v>4</v>
      </c>
      <c r="G29" s="11">
        <v>1</v>
      </c>
      <c r="H29" s="11" t="s">
        <v>14</v>
      </c>
      <c r="I29" s="14">
        <v>1</v>
      </c>
      <c r="J29" s="14">
        <v>4</v>
      </c>
      <c r="K29" s="4">
        <v>2</v>
      </c>
      <c r="L29" s="5" t="s">
        <v>21</v>
      </c>
      <c r="M29" s="6">
        <v>1</v>
      </c>
      <c r="N29" s="6">
        <v>64</v>
      </c>
      <c r="O29" s="6">
        <v>1</v>
      </c>
      <c r="P29" s="6" t="s">
        <v>12</v>
      </c>
    </row>
    <row r="30" spans="1:16" x14ac:dyDescent="0.35">
      <c r="B30">
        <v>206802</v>
      </c>
      <c r="C30" s="84" t="s">
        <v>40</v>
      </c>
      <c r="D30" s="84"/>
      <c r="E30" s="1">
        <v>21</v>
      </c>
      <c r="F30" s="1" t="s">
        <v>41</v>
      </c>
      <c r="G30" s="1">
        <v>0</v>
      </c>
      <c r="H30" s="1"/>
      <c r="I30" s="2">
        <v>1</v>
      </c>
      <c r="J30" s="3">
        <v>6</v>
      </c>
      <c r="K30" s="4">
        <v>0</v>
      </c>
      <c r="L30" s="5"/>
      <c r="M30" s="6">
        <v>20</v>
      </c>
      <c r="N30" s="6">
        <v>64</v>
      </c>
      <c r="O30" s="6">
        <v>0</v>
      </c>
      <c r="P30" s="6"/>
    </row>
    <row r="31" spans="1:16" s="53" customFormat="1" x14ac:dyDescent="0.35">
      <c r="B31" s="53">
        <v>173577</v>
      </c>
      <c r="C31" s="85" t="s">
        <v>42</v>
      </c>
      <c r="D31" s="85"/>
      <c r="E31" s="54">
        <v>1</v>
      </c>
      <c r="F31" s="54">
        <v>4</v>
      </c>
      <c r="G31" s="54">
        <v>1</v>
      </c>
      <c r="H31" s="54" t="s">
        <v>43</v>
      </c>
      <c r="I31" s="55">
        <v>1</v>
      </c>
      <c r="J31" s="56">
        <v>4</v>
      </c>
      <c r="K31" s="56">
        <v>2</v>
      </c>
      <c r="L31" s="57" t="s">
        <v>44</v>
      </c>
      <c r="M31" s="58">
        <v>1</v>
      </c>
      <c r="N31" s="58">
        <v>64</v>
      </c>
      <c r="O31" s="58">
        <v>1</v>
      </c>
      <c r="P31" s="58" t="s">
        <v>43</v>
      </c>
    </row>
    <row r="32" spans="1:16" x14ac:dyDescent="0.35">
      <c r="B32">
        <v>203596</v>
      </c>
      <c r="C32" s="80" t="s">
        <v>45</v>
      </c>
      <c r="D32" s="80"/>
      <c r="E32" s="11">
        <v>0</v>
      </c>
      <c r="F32" s="11">
        <v>0</v>
      </c>
      <c r="G32" s="11">
        <v>0</v>
      </c>
      <c r="H32" s="11"/>
      <c r="I32" s="3">
        <v>1</v>
      </c>
      <c r="J32" s="4">
        <v>4</v>
      </c>
      <c r="K32" s="4">
        <v>2</v>
      </c>
      <c r="L32" s="5" t="s">
        <v>46</v>
      </c>
      <c r="M32" s="6">
        <v>0</v>
      </c>
      <c r="N32" s="6">
        <v>0</v>
      </c>
      <c r="O32" s="6">
        <v>0</v>
      </c>
      <c r="P32" s="6"/>
    </row>
    <row r="33" spans="2:16" ht="15" customHeight="1" x14ac:dyDescent="0.35">
      <c r="B33">
        <v>206805</v>
      </c>
      <c r="C33" s="80" t="s">
        <v>47</v>
      </c>
      <c r="D33" s="80"/>
      <c r="E33" s="11">
        <v>1</v>
      </c>
      <c r="F33" s="12">
        <v>3</v>
      </c>
      <c r="G33" s="11">
        <v>1</v>
      </c>
      <c r="H33" s="11" t="s">
        <v>48</v>
      </c>
      <c r="I33" s="4">
        <v>1</v>
      </c>
      <c r="J33" s="4">
        <v>4</v>
      </c>
      <c r="K33" s="4">
        <v>2</v>
      </c>
      <c r="L33" s="5" t="s">
        <v>46</v>
      </c>
      <c r="M33" s="6">
        <v>0</v>
      </c>
      <c r="N33" s="6">
        <v>0</v>
      </c>
      <c r="O33" s="6">
        <v>0</v>
      </c>
      <c r="P33" s="6"/>
    </row>
    <row r="34" spans="2:16" x14ac:dyDescent="0.35">
      <c r="B34">
        <v>204226</v>
      </c>
      <c r="C34" s="80" t="s">
        <v>49</v>
      </c>
      <c r="D34" s="80"/>
      <c r="E34" s="11">
        <v>0</v>
      </c>
      <c r="F34" s="11">
        <v>0</v>
      </c>
      <c r="G34" s="11">
        <v>0</v>
      </c>
      <c r="H34" s="11"/>
      <c r="I34" s="4">
        <v>1</v>
      </c>
      <c r="J34" s="4">
        <v>96</v>
      </c>
      <c r="K34" s="4">
        <v>1</v>
      </c>
      <c r="L34" s="5" t="s">
        <v>43</v>
      </c>
      <c r="M34" s="6">
        <v>1</v>
      </c>
      <c r="N34" s="6">
        <v>64</v>
      </c>
      <c r="O34" s="6">
        <v>1</v>
      </c>
      <c r="P34" s="6" t="s">
        <v>29</v>
      </c>
    </row>
    <row r="35" spans="2:16" x14ac:dyDescent="0.35">
      <c r="B35">
        <v>212579</v>
      </c>
      <c r="C35" s="80" t="s">
        <v>50</v>
      </c>
      <c r="D35" s="80"/>
      <c r="E35" s="11">
        <v>1</v>
      </c>
      <c r="F35" s="11">
        <v>4</v>
      </c>
      <c r="G35" s="11">
        <v>1</v>
      </c>
      <c r="H35" s="11" t="s">
        <v>51</v>
      </c>
      <c r="I35" s="4">
        <v>1</v>
      </c>
      <c r="J35" s="4">
        <v>4</v>
      </c>
      <c r="K35" s="4">
        <v>1</v>
      </c>
      <c r="L35" s="5" t="s">
        <v>14</v>
      </c>
      <c r="M35" s="6">
        <v>1</v>
      </c>
      <c r="N35" s="6">
        <v>64</v>
      </c>
      <c r="O35" s="6">
        <v>1</v>
      </c>
      <c r="P35" s="6" t="s">
        <v>43</v>
      </c>
    </row>
    <row r="36" spans="2:16" x14ac:dyDescent="0.35">
      <c r="B36">
        <v>202469</v>
      </c>
      <c r="C36" s="80" t="s">
        <v>52</v>
      </c>
      <c r="D36" s="80"/>
      <c r="E36" s="11">
        <v>1</v>
      </c>
      <c r="F36" s="11">
        <v>4</v>
      </c>
      <c r="G36" s="11">
        <v>3</v>
      </c>
      <c r="H36" s="16" t="s">
        <v>53</v>
      </c>
      <c r="I36" s="4">
        <v>0</v>
      </c>
      <c r="J36" s="4">
        <v>0</v>
      </c>
      <c r="K36" s="4">
        <v>0</v>
      </c>
      <c r="L36" s="5"/>
      <c r="M36" s="6">
        <v>1</v>
      </c>
      <c r="N36" s="6">
        <v>64</v>
      </c>
      <c r="O36" s="6">
        <v>1</v>
      </c>
      <c r="P36" s="6" t="s">
        <v>29</v>
      </c>
    </row>
    <row r="37" spans="2:16" x14ac:dyDescent="0.35">
      <c r="B37">
        <v>202471</v>
      </c>
      <c r="C37" s="80" t="s">
        <v>54</v>
      </c>
      <c r="D37" s="80"/>
      <c r="E37" s="11">
        <v>0</v>
      </c>
      <c r="F37" s="11">
        <v>0</v>
      </c>
      <c r="G37" s="11">
        <v>0</v>
      </c>
      <c r="H37" s="15"/>
      <c r="I37" s="4">
        <v>1</v>
      </c>
      <c r="J37" s="4">
        <v>15</v>
      </c>
      <c r="K37" s="4">
        <v>1</v>
      </c>
      <c r="L37" s="5" t="s">
        <v>14</v>
      </c>
      <c r="M37" s="6">
        <v>0</v>
      </c>
      <c r="N37" s="6">
        <v>0</v>
      </c>
      <c r="O37" s="6">
        <v>0</v>
      </c>
      <c r="P37" s="6"/>
    </row>
    <row r="38" spans="2:16" x14ac:dyDescent="0.35">
      <c r="B38">
        <v>205898</v>
      </c>
      <c r="C38" s="80" t="s">
        <v>55</v>
      </c>
      <c r="D38" s="80"/>
      <c r="E38" s="11">
        <v>0</v>
      </c>
      <c r="F38" s="11">
        <v>0</v>
      </c>
      <c r="G38" s="11">
        <v>0</v>
      </c>
      <c r="H38" s="11"/>
      <c r="I38" s="4">
        <v>2</v>
      </c>
      <c r="J38" s="4">
        <v>40</v>
      </c>
      <c r="K38" s="4">
        <v>0</v>
      </c>
      <c r="L38" s="5"/>
      <c r="M38" s="6">
        <v>0</v>
      </c>
      <c r="N38" s="6">
        <v>0</v>
      </c>
      <c r="O38" s="6">
        <v>0</v>
      </c>
      <c r="P38" s="6"/>
    </row>
    <row r="39" spans="2:16" x14ac:dyDescent="0.35">
      <c r="B39">
        <v>202433</v>
      </c>
      <c r="C39" s="80" t="s">
        <v>56</v>
      </c>
      <c r="D39" s="80"/>
      <c r="E39" s="11">
        <v>2</v>
      </c>
      <c r="F39" s="11">
        <v>8</v>
      </c>
      <c r="G39" s="11">
        <v>3</v>
      </c>
      <c r="H39" s="11" t="s">
        <v>53</v>
      </c>
      <c r="I39" s="4">
        <v>1</v>
      </c>
      <c r="J39" s="4">
        <v>4</v>
      </c>
      <c r="K39" s="4">
        <v>3</v>
      </c>
      <c r="L39" s="5" t="s">
        <v>11</v>
      </c>
      <c r="M39" s="6">
        <v>0</v>
      </c>
      <c r="N39" s="6">
        <v>0</v>
      </c>
      <c r="O39" s="6">
        <v>0</v>
      </c>
      <c r="P39" s="6"/>
    </row>
    <row r="40" spans="2:16" x14ac:dyDescent="0.35">
      <c r="B40">
        <v>202431</v>
      </c>
      <c r="C40" s="80" t="s">
        <v>57</v>
      </c>
      <c r="D40" s="80"/>
      <c r="E40" s="11">
        <v>0</v>
      </c>
      <c r="F40" s="11">
        <v>0</v>
      </c>
      <c r="G40" s="11">
        <v>0</v>
      </c>
      <c r="H40" s="11"/>
      <c r="I40" s="4">
        <v>0</v>
      </c>
      <c r="J40" s="4">
        <v>0</v>
      </c>
      <c r="K40" s="4">
        <v>0</v>
      </c>
      <c r="L40" s="5"/>
      <c r="M40" s="6">
        <v>1</v>
      </c>
      <c r="N40" s="6">
        <v>20</v>
      </c>
      <c r="O40" s="6">
        <v>1</v>
      </c>
      <c r="P40" s="6" t="s">
        <v>29</v>
      </c>
    </row>
    <row r="41" spans="2:16" s="53" customFormat="1" x14ac:dyDescent="0.35">
      <c r="B41" s="53">
        <v>190408</v>
      </c>
      <c r="C41" s="85" t="s">
        <v>58</v>
      </c>
      <c r="D41" s="85"/>
      <c r="E41" s="54">
        <v>1</v>
      </c>
      <c r="F41" s="54">
        <v>90</v>
      </c>
      <c r="G41" s="54">
        <v>1</v>
      </c>
      <c r="H41" s="54" t="s">
        <v>29</v>
      </c>
      <c r="I41" s="56">
        <v>1</v>
      </c>
      <c r="J41" s="56">
        <v>2</v>
      </c>
      <c r="K41" s="56">
        <v>2</v>
      </c>
      <c r="L41" s="57" t="s">
        <v>21</v>
      </c>
      <c r="M41" s="58">
        <v>1</v>
      </c>
      <c r="N41" s="58">
        <v>64</v>
      </c>
      <c r="O41" s="58">
        <v>4</v>
      </c>
      <c r="P41" s="58" t="s">
        <v>29</v>
      </c>
    </row>
    <row r="42" spans="2:16" x14ac:dyDescent="0.35">
      <c r="B42">
        <v>211404</v>
      </c>
      <c r="C42" s="80" t="s">
        <v>59</v>
      </c>
      <c r="D42" s="80"/>
      <c r="E42" s="11">
        <v>10</v>
      </c>
      <c r="F42" s="11">
        <v>90</v>
      </c>
      <c r="G42" s="11">
        <v>0</v>
      </c>
      <c r="H42" s="11"/>
      <c r="I42" s="4">
        <v>10</v>
      </c>
      <c r="J42" s="4">
        <v>90</v>
      </c>
      <c r="K42" s="4">
        <v>0</v>
      </c>
      <c r="L42" s="5"/>
      <c r="M42" s="6">
        <v>10</v>
      </c>
      <c r="N42" s="6">
        <v>90</v>
      </c>
      <c r="O42" s="6">
        <v>0</v>
      </c>
      <c r="P42" s="6"/>
    </row>
    <row r="43" spans="2:16" x14ac:dyDescent="0.35">
      <c r="B43">
        <v>201046</v>
      </c>
      <c r="C43" s="80" t="s">
        <v>60</v>
      </c>
      <c r="D43" s="80"/>
      <c r="E43" s="11">
        <v>0</v>
      </c>
      <c r="F43" s="11">
        <v>0</v>
      </c>
      <c r="G43" s="11">
        <v>0</v>
      </c>
      <c r="H43" s="11"/>
      <c r="I43" s="4">
        <v>5</v>
      </c>
      <c r="J43" s="4">
        <v>5</v>
      </c>
      <c r="K43" s="4">
        <v>5</v>
      </c>
      <c r="L43" s="5" t="s">
        <v>61</v>
      </c>
      <c r="M43" s="6">
        <v>12</v>
      </c>
      <c r="N43" s="6">
        <v>5</v>
      </c>
      <c r="O43" s="24">
        <v>5</v>
      </c>
      <c r="P43" s="6" t="s">
        <v>62</v>
      </c>
    </row>
    <row r="44" spans="2:16" x14ac:dyDescent="0.35">
      <c r="B44">
        <v>206878</v>
      </c>
      <c r="C44" s="80" t="s">
        <v>63</v>
      </c>
      <c r="D44" s="80"/>
      <c r="E44" s="11">
        <v>0</v>
      </c>
      <c r="F44" s="11">
        <v>0</v>
      </c>
      <c r="G44" s="11">
        <v>0</v>
      </c>
      <c r="H44" s="11"/>
      <c r="I44" s="4">
        <v>5</v>
      </c>
      <c r="J44" s="4">
        <v>5</v>
      </c>
      <c r="K44" s="4">
        <v>1</v>
      </c>
      <c r="L44" s="5" t="s">
        <v>64</v>
      </c>
      <c r="M44" s="6">
        <v>5</v>
      </c>
      <c r="N44" s="6">
        <v>5</v>
      </c>
      <c r="O44" s="6">
        <v>1</v>
      </c>
      <c r="P44" s="6" t="s">
        <v>29</v>
      </c>
    </row>
    <row r="45" spans="2:16" x14ac:dyDescent="0.35">
      <c r="B45">
        <v>202442</v>
      </c>
      <c r="C45" s="80" t="s">
        <v>65</v>
      </c>
      <c r="D45" s="80"/>
      <c r="E45" s="11">
        <v>2</v>
      </c>
      <c r="F45" s="11">
        <v>3</v>
      </c>
      <c r="G45" s="11">
        <v>3</v>
      </c>
      <c r="H45" s="11" t="s">
        <v>53</v>
      </c>
      <c r="I45" s="4">
        <v>2</v>
      </c>
      <c r="J45" s="4">
        <v>3</v>
      </c>
      <c r="K45" s="4">
        <v>6</v>
      </c>
      <c r="L45" s="5" t="s">
        <v>66</v>
      </c>
      <c r="M45" s="6">
        <v>1</v>
      </c>
      <c r="N45" s="6">
        <v>64</v>
      </c>
      <c r="O45" s="6">
        <v>1</v>
      </c>
      <c r="P45" s="6" t="s">
        <v>29</v>
      </c>
    </row>
    <row r="46" spans="2:16" x14ac:dyDescent="0.35">
      <c r="B46">
        <v>202334</v>
      </c>
      <c r="C46" s="80" t="s">
        <v>67</v>
      </c>
      <c r="D46" s="80"/>
      <c r="E46" s="11">
        <v>1</v>
      </c>
      <c r="F46" s="11">
        <v>4</v>
      </c>
      <c r="G46" s="11">
        <v>1</v>
      </c>
      <c r="H46" s="11" t="s">
        <v>14</v>
      </c>
      <c r="I46" s="17">
        <v>1</v>
      </c>
      <c r="J46" s="17">
        <v>4</v>
      </c>
      <c r="K46" s="4">
        <v>1</v>
      </c>
      <c r="L46" s="5" t="s">
        <v>14</v>
      </c>
      <c r="M46" s="6">
        <v>1</v>
      </c>
      <c r="N46" s="6">
        <v>64</v>
      </c>
      <c r="O46" s="6">
        <v>1</v>
      </c>
      <c r="P46" s="6" t="s">
        <v>29</v>
      </c>
    </row>
    <row r="47" spans="2:16" s="53" customFormat="1" x14ac:dyDescent="0.35">
      <c r="B47" s="53">
        <v>204542</v>
      </c>
      <c r="C47" s="85" t="s">
        <v>68</v>
      </c>
      <c r="D47" s="85"/>
      <c r="E47" s="59">
        <v>4</v>
      </c>
      <c r="F47" s="59">
        <v>4</v>
      </c>
      <c r="G47" s="59">
        <v>0</v>
      </c>
      <c r="I47" s="60">
        <v>3</v>
      </c>
      <c r="J47" s="60">
        <v>4</v>
      </c>
      <c r="K47" s="61">
        <v>0</v>
      </c>
      <c r="L47" s="62"/>
      <c r="M47" s="58">
        <v>7</v>
      </c>
      <c r="N47" s="58" t="s">
        <v>69</v>
      </c>
      <c r="O47" s="58">
        <v>0</v>
      </c>
      <c r="P47" s="58"/>
    </row>
    <row r="48" spans="2:16" x14ac:dyDescent="0.35">
      <c r="B48">
        <v>206804</v>
      </c>
      <c r="C48" s="80" t="s">
        <v>70</v>
      </c>
      <c r="D48" s="80"/>
      <c r="E48" s="11">
        <v>1</v>
      </c>
      <c r="F48" s="11">
        <v>6</v>
      </c>
      <c r="G48" s="11">
        <v>0</v>
      </c>
      <c r="H48" s="11"/>
      <c r="I48" s="4">
        <v>1</v>
      </c>
      <c r="J48" s="4">
        <v>6</v>
      </c>
      <c r="K48" s="4">
        <v>0</v>
      </c>
      <c r="L48" s="5"/>
      <c r="M48" s="6">
        <v>1</v>
      </c>
      <c r="N48" s="6">
        <v>3</v>
      </c>
      <c r="O48" s="6">
        <v>0</v>
      </c>
      <c r="P48" s="6"/>
    </row>
    <row r="49" spans="2:16" x14ac:dyDescent="0.35">
      <c r="B49">
        <v>201744</v>
      </c>
      <c r="C49" s="80" t="s">
        <v>71</v>
      </c>
      <c r="D49" s="80"/>
      <c r="E49" s="11">
        <v>0</v>
      </c>
      <c r="F49" s="11">
        <v>0</v>
      </c>
      <c r="G49" s="11">
        <v>0</v>
      </c>
      <c r="H49" s="11"/>
      <c r="I49" s="4">
        <v>0</v>
      </c>
      <c r="J49" s="4">
        <v>0</v>
      </c>
      <c r="K49" s="4">
        <v>0</v>
      </c>
      <c r="L49" s="5"/>
      <c r="M49" s="6">
        <v>2</v>
      </c>
      <c r="N49" s="6">
        <v>64</v>
      </c>
      <c r="O49" s="6">
        <v>1</v>
      </c>
      <c r="P49" s="6" t="s">
        <v>29</v>
      </c>
    </row>
    <row r="50" spans="2:16" x14ac:dyDescent="0.35">
      <c r="B50">
        <v>204622</v>
      </c>
      <c r="C50" s="80" t="s">
        <v>72</v>
      </c>
      <c r="D50" s="80"/>
      <c r="E50" s="11">
        <v>0</v>
      </c>
      <c r="F50" s="11">
        <v>0</v>
      </c>
      <c r="G50" s="11">
        <v>0</v>
      </c>
      <c r="H50" s="11"/>
      <c r="I50" s="4">
        <v>1</v>
      </c>
      <c r="J50" s="4">
        <v>25</v>
      </c>
      <c r="K50" s="4">
        <v>1</v>
      </c>
      <c r="L50" s="5" t="s">
        <v>43</v>
      </c>
      <c r="M50" s="6">
        <v>0</v>
      </c>
      <c r="N50" s="6">
        <v>0</v>
      </c>
      <c r="O50" s="6">
        <v>0</v>
      </c>
      <c r="P50" s="6"/>
    </row>
    <row r="51" spans="2:16" ht="15" thickBot="1" x14ac:dyDescent="0.4">
      <c r="B51">
        <v>201000</v>
      </c>
      <c r="C51" s="83" t="s">
        <v>73</v>
      </c>
      <c r="D51" s="83"/>
      <c r="E51" s="13">
        <v>0</v>
      </c>
      <c r="F51" s="13">
        <v>0</v>
      </c>
      <c r="G51" s="11">
        <v>0</v>
      </c>
      <c r="H51" s="11"/>
      <c r="I51" s="14">
        <v>0</v>
      </c>
      <c r="J51" s="14">
        <v>0</v>
      </c>
      <c r="K51" s="4">
        <v>0</v>
      </c>
      <c r="L51" s="5"/>
      <c r="M51" s="6">
        <v>0</v>
      </c>
      <c r="N51" s="6">
        <v>0</v>
      </c>
      <c r="O51" s="6">
        <v>0</v>
      </c>
      <c r="P51" s="6"/>
    </row>
    <row r="52" spans="2:16" x14ac:dyDescent="0.35">
      <c r="B52">
        <v>201002</v>
      </c>
      <c r="C52" s="84" t="s">
        <v>74</v>
      </c>
      <c r="D52" s="84"/>
      <c r="E52" s="1">
        <v>0</v>
      </c>
      <c r="F52" s="1">
        <v>0</v>
      </c>
      <c r="G52" s="1">
        <v>0</v>
      </c>
      <c r="H52" s="1"/>
      <c r="I52" s="2">
        <v>0</v>
      </c>
      <c r="J52" s="3">
        <v>0</v>
      </c>
      <c r="K52" s="4">
        <v>0</v>
      </c>
      <c r="L52" s="5"/>
      <c r="M52" s="6">
        <v>0</v>
      </c>
      <c r="N52" s="6">
        <v>0</v>
      </c>
      <c r="O52" s="6">
        <v>0</v>
      </c>
      <c r="P52" s="6"/>
    </row>
    <row r="53" spans="2:16" s="53" customFormat="1" x14ac:dyDescent="0.35">
      <c r="B53" s="53">
        <v>202475</v>
      </c>
      <c r="C53" s="85" t="s">
        <v>75</v>
      </c>
      <c r="D53" s="85"/>
      <c r="E53" s="54">
        <v>1</v>
      </c>
      <c r="F53" s="54">
        <v>4</v>
      </c>
      <c r="G53" s="54">
        <v>3</v>
      </c>
      <c r="H53" s="54" t="s">
        <v>53</v>
      </c>
      <c r="I53" s="55">
        <v>0</v>
      </c>
      <c r="J53" s="56">
        <v>0</v>
      </c>
      <c r="K53" s="56">
        <v>0</v>
      </c>
      <c r="L53" s="57"/>
      <c r="M53" s="58">
        <v>1</v>
      </c>
      <c r="N53" s="58">
        <v>4</v>
      </c>
      <c r="O53" s="58">
        <v>1</v>
      </c>
      <c r="P53" s="58" t="s">
        <v>29</v>
      </c>
    </row>
    <row r="54" spans="2:16" x14ac:dyDescent="0.35">
      <c r="B54">
        <v>202473</v>
      </c>
      <c r="C54" s="80" t="s">
        <v>76</v>
      </c>
      <c r="D54" s="80"/>
      <c r="E54" s="11">
        <v>1</v>
      </c>
      <c r="F54" s="11">
        <v>4</v>
      </c>
      <c r="G54" s="11">
        <v>1</v>
      </c>
      <c r="H54" s="11" t="s">
        <v>14</v>
      </c>
      <c r="I54" s="3">
        <v>0</v>
      </c>
      <c r="J54" s="4">
        <v>0</v>
      </c>
      <c r="K54" s="4">
        <v>0</v>
      </c>
      <c r="L54" s="5"/>
      <c r="M54" s="6">
        <v>1</v>
      </c>
      <c r="N54" s="6">
        <v>64</v>
      </c>
      <c r="O54" s="6">
        <v>1</v>
      </c>
      <c r="P54" s="6" t="s">
        <v>29</v>
      </c>
    </row>
    <row r="55" spans="2:16" ht="15" customHeight="1" x14ac:dyDescent="0.35">
      <c r="B55">
        <v>202472</v>
      </c>
      <c r="C55" s="80" t="s">
        <v>77</v>
      </c>
      <c r="D55" s="80"/>
      <c r="E55" s="11">
        <v>0</v>
      </c>
      <c r="F55" s="12">
        <v>0</v>
      </c>
      <c r="G55" s="11">
        <v>0</v>
      </c>
      <c r="H55" s="11"/>
      <c r="I55" s="4">
        <v>1</v>
      </c>
      <c r="J55" s="4">
        <v>15</v>
      </c>
      <c r="K55" s="4">
        <v>1</v>
      </c>
      <c r="L55" s="5" t="s">
        <v>14</v>
      </c>
      <c r="M55" s="6">
        <v>0</v>
      </c>
      <c r="N55" s="6">
        <v>0</v>
      </c>
      <c r="O55" s="6">
        <v>0</v>
      </c>
      <c r="P55" s="6"/>
    </row>
    <row r="56" spans="2:16" x14ac:dyDescent="0.35">
      <c r="B56">
        <v>201037</v>
      </c>
      <c r="C56" s="80" t="s">
        <v>78</v>
      </c>
      <c r="D56" s="80"/>
      <c r="E56" s="11">
        <v>1</v>
      </c>
      <c r="F56" s="11">
        <v>30</v>
      </c>
      <c r="G56" s="11">
        <v>0</v>
      </c>
      <c r="H56" s="11"/>
      <c r="I56" s="4">
        <v>3</v>
      </c>
      <c r="J56" s="4" t="s">
        <v>79</v>
      </c>
      <c r="K56" s="4" t="s">
        <v>80</v>
      </c>
      <c r="L56" s="5" t="s">
        <v>29</v>
      </c>
      <c r="M56" s="6">
        <v>0</v>
      </c>
      <c r="N56" s="6">
        <v>0</v>
      </c>
      <c r="O56" s="6">
        <v>0</v>
      </c>
      <c r="P56" s="6"/>
    </row>
    <row r="57" spans="2:16" x14ac:dyDescent="0.35">
      <c r="B57">
        <v>202426</v>
      </c>
      <c r="C57" s="80" t="s">
        <v>81</v>
      </c>
      <c r="D57" s="80"/>
      <c r="E57" s="11">
        <v>1</v>
      </c>
      <c r="F57" s="11">
        <v>6</v>
      </c>
      <c r="G57" s="11">
        <v>3</v>
      </c>
      <c r="H57" s="11" t="s">
        <v>53</v>
      </c>
      <c r="I57" s="4">
        <v>0</v>
      </c>
      <c r="J57" s="4">
        <v>0</v>
      </c>
      <c r="K57" s="4">
        <v>0</v>
      </c>
      <c r="L57" s="5"/>
      <c r="M57" s="6">
        <v>1</v>
      </c>
      <c r="N57" s="6">
        <v>3</v>
      </c>
      <c r="O57" s="6">
        <v>1</v>
      </c>
      <c r="P57" s="6" t="s">
        <v>29</v>
      </c>
    </row>
    <row r="58" spans="2:16" x14ac:dyDescent="0.35">
      <c r="B58">
        <v>202427</v>
      </c>
      <c r="C58" s="80" t="s">
        <v>82</v>
      </c>
      <c r="D58" s="80"/>
      <c r="E58" s="11">
        <v>0</v>
      </c>
      <c r="F58" s="11">
        <v>0</v>
      </c>
      <c r="G58" s="11">
        <v>0</v>
      </c>
      <c r="H58" s="16"/>
      <c r="I58" s="4">
        <v>1</v>
      </c>
      <c r="J58" s="4">
        <v>10</v>
      </c>
      <c r="K58" s="4">
        <v>1</v>
      </c>
      <c r="L58" s="5" t="s">
        <v>51</v>
      </c>
      <c r="M58" s="6">
        <v>0</v>
      </c>
      <c r="N58" s="6">
        <v>0</v>
      </c>
      <c r="O58" s="6">
        <v>0</v>
      </c>
      <c r="P58" s="6"/>
    </row>
    <row r="59" spans="2:16" x14ac:dyDescent="0.35">
      <c r="B59">
        <v>204885</v>
      </c>
      <c r="C59" s="80" t="s">
        <v>83</v>
      </c>
      <c r="D59" s="80"/>
      <c r="E59" s="11">
        <v>1</v>
      </c>
      <c r="F59" s="11">
        <v>4</v>
      </c>
      <c r="G59" s="11">
        <v>0</v>
      </c>
      <c r="H59" s="15"/>
      <c r="I59" s="4">
        <v>1</v>
      </c>
      <c r="J59" s="4">
        <v>4</v>
      </c>
      <c r="K59" s="4">
        <v>0</v>
      </c>
      <c r="L59" s="5"/>
      <c r="M59" s="6">
        <v>10</v>
      </c>
      <c r="N59" s="6">
        <v>60</v>
      </c>
      <c r="O59" s="6">
        <v>0</v>
      </c>
      <c r="P59" s="6"/>
    </row>
    <row r="60" spans="2:16" x14ac:dyDescent="0.35">
      <c r="B60">
        <v>202253</v>
      </c>
      <c r="C60" s="80" t="s">
        <v>84</v>
      </c>
      <c r="D60" s="80"/>
      <c r="E60" s="11">
        <v>1</v>
      </c>
      <c r="F60" s="11">
        <v>4</v>
      </c>
      <c r="G60" s="11">
        <v>0</v>
      </c>
      <c r="H60" s="11" t="s">
        <v>14</v>
      </c>
      <c r="I60" s="4">
        <v>0</v>
      </c>
      <c r="J60" s="4">
        <v>0</v>
      </c>
      <c r="K60" s="4">
        <v>0</v>
      </c>
      <c r="L60" s="5"/>
      <c r="M60" s="6">
        <v>1</v>
      </c>
      <c r="N60" s="6">
        <v>90</v>
      </c>
      <c r="O60" s="6">
        <v>1</v>
      </c>
      <c r="P60" s="6" t="s">
        <v>29</v>
      </c>
    </row>
    <row r="61" spans="2:16" x14ac:dyDescent="0.35">
      <c r="B61">
        <v>202254</v>
      </c>
      <c r="C61" s="80" t="s">
        <v>85</v>
      </c>
      <c r="D61" s="80"/>
      <c r="E61" s="11">
        <v>0</v>
      </c>
      <c r="F61" s="11">
        <v>0</v>
      </c>
      <c r="G61" s="11">
        <v>0</v>
      </c>
      <c r="H61" s="11"/>
      <c r="I61" s="4">
        <v>1</v>
      </c>
      <c r="J61" s="4">
        <v>15</v>
      </c>
      <c r="K61" s="4">
        <v>1</v>
      </c>
      <c r="L61" s="5" t="s">
        <v>29</v>
      </c>
      <c r="M61" s="6">
        <v>0</v>
      </c>
      <c r="N61" s="6">
        <v>0</v>
      </c>
      <c r="O61" s="6">
        <v>0</v>
      </c>
      <c r="P61" s="6"/>
    </row>
    <row r="62" spans="2:16" x14ac:dyDescent="0.35">
      <c r="B62">
        <v>202432</v>
      </c>
      <c r="C62" s="80" t="s">
        <v>86</v>
      </c>
      <c r="D62" s="80"/>
      <c r="E62" s="11">
        <v>0</v>
      </c>
      <c r="F62" s="11">
        <v>0</v>
      </c>
      <c r="G62" s="11">
        <v>0</v>
      </c>
      <c r="H62" s="11"/>
      <c r="I62" s="4">
        <v>1</v>
      </c>
      <c r="J62" s="4">
        <v>10</v>
      </c>
      <c r="K62" s="4">
        <v>1</v>
      </c>
      <c r="L62" s="5" t="s">
        <v>51</v>
      </c>
      <c r="M62" s="6">
        <v>0</v>
      </c>
      <c r="N62" s="6">
        <v>0</v>
      </c>
      <c r="O62" s="6">
        <v>0</v>
      </c>
      <c r="P62" s="6"/>
    </row>
    <row r="63" spans="2:16" s="53" customFormat="1" x14ac:dyDescent="0.35">
      <c r="B63" s="53">
        <v>202440</v>
      </c>
      <c r="C63" s="85" t="s">
        <v>86</v>
      </c>
      <c r="D63" s="85"/>
      <c r="E63" s="54">
        <v>1</v>
      </c>
      <c r="F63" s="54">
        <v>6</v>
      </c>
      <c r="G63" s="54">
        <v>3</v>
      </c>
      <c r="H63" s="54" t="s">
        <v>53</v>
      </c>
      <c r="I63" s="56">
        <v>0</v>
      </c>
      <c r="J63" s="56">
        <v>0</v>
      </c>
      <c r="K63" s="56">
        <v>0</v>
      </c>
      <c r="L63" s="57"/>
      <c r="M63" s="58">
        <v>2</v>
      </c>
      <c r="N63" s="58">
        <v>64</v>
      </c>
      <c r="O63" s="58">
        <v>1</v>
      </c>
      <c r="P63" s="58" t="s">
        <v>29</v>
      </c>
    </row>
    <row r="64" spans="2:16" x14ac:dyDescent="0.35">
      <c r="B64">
        <v>202251</v>
      </c>
      <c r="C64" s="80" t="s">
        <v>87</v>
      </c>
      <c r="D64" s="80"/>
      <c r="E64" s="11">
        <v>1</v>
      </c>
      <c r="F64" s="11">
        <v>6</v>
      </c>
      <c r="G64" s="11">
        <v>3</v>
      </c>
      <c r="H64" s="11" t="s">
        <v>53</v>
      </c>
      <c r="I64" s="4">
        <v>0</v>
      </c>
      <c r="J64" s="4">
        <v>0</v>
      </c>
      <c r="K64" s="4">
        <v>0</v>
      </c>
      <c r="L64" s="5"/>
      <c r="M64" s="6">
        <v>1</v>
      </c>
      <c r="N64" s="6">
        <v>2</v>
      </c>
      <c r="O64" s="6">
        <v>3</v>
      </c>
      <c r="P64" s="6" t="s">
        <v>88</v>
      </c>
    </row>
    <row r="65" spans="2:16" x14ac:dyDescent="0.35">
      <c r="B65">
        <v>202252</v>
      </c>
      <c r="C65" s="80" t="s">
        <v>87</v>
      </c>
      <c r="D65" s="80"/>
      <c r="E65" s="11">
        <v>0</v>
      </c>
      <c r="F65" s="11">
        <v>0</v>
      </c>
      <c r="G65" s="11">
        <v>0</v>
      </c>
      <c r="H65" s="11"/>
      <c r="I65" s="4">
        <v>1</v>
      </c>
      <c r="J65" s="4">
        <v>30</v>
      </c>
      <c r="K65" s="4">
        <v>1</v>
      </c>
      <c r="L65" s="5" t="s">
        <v>29</v>
      </c>
      <c r="M65" s="6">
        <v>0</v>
      </c>
      <c r="N65" s="6">
        <v>0</v>
      </c>
      <c r="O65" s="6">
        <v>0</v>
      </c>
      <c r="P65" s="6"/>
    </row>
    <row r="66" spans="2:16" x14ac:dyDescent="0.35">
      <c r="B66">
        <v>205216</v>
      </c>
      <c r="C66" s="80" t="s">
        <v>89</v>
      </c>
      <c r="D66" s="80"/>
      <c r="E66" s="11">
        <v>0</v>
      </c>
      <c r="F66" s="11">
        <v>0</v>
      </c>
      <c r="G66" s="11">
        <v>0</v>
      </c>
      <c r="H66" s="11"/>
      <c r="I66" s="4">
        <v>0</v>
      </c>
      <c r="J66" s="4">
        <v>0</v>
      </c>
      <c r="K66" s="4">
        <v>0</v>
      </c>
      <c r="L66" s="5"/>
      <c r="M66" s="6">
        <v>0</v>
      </c>
      <c r="N66" s="6">
        <v>0</v>
      </c>
      <c r="O66" s="6">
        <v>0</v>
      </c>
      <c r="P66" s="6"/>
    </row>
    <row r="67" spans="2:16" x14ac:dyDescent="0.35">
      <c r="B67">
        <v>202476</v>
      </c>
      <c r="C67" s="80" t="s">
        <v>90</v>
      </c>
      <c r="D67" s="80"/>
      <c r="E67" s="11">
        <v>1</v>
      </c>
      <c r="F67" s="11">
        <v>3</v>
      </c>
      <c r="G67" s="11">
        <v>1</v>
      </c>
      <c r="H67" s="11" t="s">
        <v>14</v>
      </c>
      <c r="I67" s="4">
        <v>1</v>
      </c>
      <c r="J67" s="4">
        <v>3</v>
      </c>
      <c r="K67" s="4">
        <v>1</v>
      </c>
      <c r="L67" s="5" t="s">
        <v>43</v>
      </c>
      <c r="M67" s="6">
        <v>1</v>
      </c>
      <c r="N67" s="6">
        <v>64</v>
      </c>
      <c r="O67" s="6">
        <v>1</v>
      </c>
      <c r="P67" s="6" t="s">
        <v>43</v>
      </c>
    </row>
    <row r="68" spans="2:16" x14ac:dyDescent="0.35">
      <c r="B68">
        <v>157410</v>
      </c>
      <c r="C68" s="80" t="s">
        <v>91</v>
      </c>
      <c r="D68" s="80"/>
      <c r="E68" s="11">
        <v>0</v>
      </c>
      <c r="F68" s="11">
        <v>0</v>
      </c>
      <c r="G68" s="11">
        <v>0</v>
      </c>
      <c r="H68" s="11"/>
      <c r="I68" s="17">
        <v>1</v>
      </c>
      <c r="J68" s="17">
        <v>40</v>
      </c>
      <c r="K68" s="4">
        <v>0</v>
      </c>
      <c r="L68" s="5"/>
      <c r="M68" s="6">
        <v>0</v>
      </c>
      <c r="N68" s="6">
        <v>0</v>
      </c>
      <c r="O68" s="6">
        <v>0</v>
      </c>
      <c r="P68" s="6"/>
    </row>
    <row r="69" spans="2:16" x14ac:dyDescent="0.35">
      <c r="B69">
        <v>210896</v>
      </c>
      <c r="C69" s="80" t="s">
        <v>92</v>
      </c>
      <c r="D69" s="80"/>
      <c r="E69" s="11">
        <v>0</v>
      </c>
      <c r="F69" s="11">
        <v>0</v>
      </c>
      <c r="G69" s="11">
        <v>0</v>
      </c>
      <c r="H69" s="15"/>
      <c r="I69" s="17">
        <v>0</v>
      </c>
      <c r="J69" s="17">
        <v>0</v>
      </c>
      <c r="K69" s="4">
        <v>0</v>
      </c>
      <c r="L69" s="5"/>
      <c r="M69" s="6">
        <v>0</v>
      </c>
      <c r="N69" s="6">
        <v>0</v>
      </c>
      <c r="O69" s="6">
        <v>0</v>
      </c>
      <c r="P69" s="6"/>
    </row>
    <row r="70" spans="2:16" x14ac:dyDescent="0.35">
      <c r="B70">
        <v>201001</v>
      </c>
      <c r="C70" s="80" t="s">
        <v>93</v>
      </c>
      <c r="D70" s="80"/>
      <c r="E70" s="11">
        <v>0</v>
      </c>
      <c r="F70" s="11">
        <v>0</v>
      </c>
      <c r="G70" s="11">
        <v>0</v>
      </c>
      <c r="H70" s="11"/>
      <c r="I70" s="4">
        <v>0</v>
      </c>
      <c r="J70" s="4">
        <v>0</v>
      </c>
      <c r="K70" s="4">
        <v>0</v>
      </c>
      <c r="L70" s="5"/>
      <c r="M70" s="6">
        <v>0</v>
      </c>
      <c r="N70" s="6">
        <v>0</v>
      </c>
      <c r="O70" s="6">
        <v>0</v>
      </c>
      <c r="P70" s="6"/>
    </row>
    <row r="71" spans="2:16" x14ac:dyDescent="0.35">
      <c r="B71">
        <v>206088</v>
      </c>
      <c r="C71" s="80" t="s">
        <v>94</v>
      </c>
      <c r="D71" s="80"/>
      <c r="E71" s="11">
        <v>0</v>
      </c>
      <c r="F71" s="11">
        <v>0</v>
      </c>
      <c r="G71" s="11">
        <v>0</v>
      </c>
      <c r="H71" s="11"/>
      <c r="I71" s="4">
        <v>0</v>
      </c>
      <c r="J71" s="4">
        <v>0</v>
      </c>
      <c r="K71" s="4">
        <v>0</v>
      </c>
      <c r="L71" s="5"/>
      <c r="M71" s="6">
        <v>0</v>
      </c>
      <c r="N71" s="6">
        <v>0</v>
      </c>
      <c r="O71" s="6">
        <v>0</v>
      </c>
      <c r="P71" s="6"/>
    </row>
    <row r="72" spans="2:16" x14ac:dyDescent="0.35">
      <c r="B72">
        <v>201033</v>
      </c>
      <c r="C72" s="80" t="s">
        <v>95</v>
      </c>
      <c r="D72" s="80"/>
      <c r="E72" s="11">
        <v>1</v>
      </c>
      <c r="F72" s="11">
        <v>4</v>
      </c>
      <c r="G72" s="11">
        <v>3</v>
      </c>
      <c r="H72" s="11" t="s">
        <v>53</v>
      </c>
      <c r="I72" s="4">
        <v>2</v>
      </c>
      <c r="J72" s="4">
        <v>4</v>
      </c>
      <c r="K72" s="4">
        <v>4</v>
      </c>
      <c r="L72" s="5" t="s">
        <v>96</v>
      </c>
      <c r="M72" s="6">
        <v>2</v>
      </c>
      <c r="N72" s="6">
        <v>64</v>
      </c>
      <c r="O72" s="6">
        <v>1</v>
      </c>
      <c r="P72" s="6" t="s">
        <v>29</v>
      </c>
    </row>
    <row r="73" spans="2:16" x14ac:dyDescent="0.35">
      <c r="B73">
        <v>201034</v>
      </c>
      <c r="C73" s="86" t="s">
        <v>97</v>
      </c>
      <c r="D73" s="87"/>
      <c r="E73" s="13">
        <v>2</v>
      </c>
      <c r="F73" s="13">
        <v>3</v>
      </c>
      <c r="G73" s="11">
        <v>3</v>
      </c>
      <c r="H73" s="11" t="s">
        <v>53</v>
      </c>
      <c r="I73" s="14">
        <v>3</v>
      </c>
      <c r="J73" s="14">
        <v>3</v>
      </c>
      <c r="K73" s="4">
        <v>4</v>
      </c>
      <c r="L73" s="5" t="s">
        <v>96</v>
      </c>
      <c r="M73" s="6">
        <v>0</v>
      </c>
      <c r="N73" s="6">
        <v>0</v>
      </c>
      <c r="O73" s="6">
        <v>0</v>
      </c>
      <c r="P73" s="6"/>
    </row>
    <row r="74" spans="2:16" x14ac:dyDescent="0.35">
      <c r="B74">
        <v>201032</v>
      </c>
      <c r="C74" s="80" t="s">
        <v>98</v>
      </c>
      <c r="D74" s="80"/>
      <c r="E74" s="11">
        <v>1</v>
      </c>
      <c r="F74" s="11">
        <v>4</v>
      </c>
      <c r="G74" s="11">
        <v>2</v>
      </c>
      <c r="H74" s="11" t="s">
        <v>46</v>
      </c>
      <c r="I74" s="4">
        <v>1</v>
      </c>
      <c r="J74" s="4">
        <v>4</v>
      </c>
      <c r="K74" s="4">
        <v>4</v>
      </c>
      <c r="L74" s="5" t="s">
        <v>96</v>
      </c>
      <c r="M74" s="6">
        <v>1</v>
      </c>
      <c r="N74" s="6">
        <v>64</v>
      </c>
      <c r="O74" s="6">
        <v>1</v>
      </c>
      <c r="P74" s="6" t="s">
        <v>29</v>
      </c>
    </row>
    <row r="75" spans="2:16" x14ac:dyDescent="0.35">
      <c r="B75">
        <v>201030</v>
      </c>
      <c r="C75" s="83" t="s">
        <v>99</v>
      </c>
      <c r="D75" s="83"/>
      <c r="E75" s="13">
        <v>1</v>
      </c>
      <c r="F75" s="13">
        <v>4</v>
      </c>
      <c r="G75" s="11">
        <v>2</v>
      </c>
      <c r="H75" s="11" t="s">
        <v>26</v>
      </c>
      <c r="I75" s="14">
        <v>1</v>
      </c>
      <c r="J75" s="14">
        <v>4</v>
      </c>
      <c r="K75" s="4">
        <v>4</v>
      </c>
      <c r="L75" s="5" t="s">
        <v>96</v>
      </c>
      <c r="M75" s="6">
        <v>1</v>
      </c>
      <c r="N75" s="6">
        <v>64</v>
      </c>
      <c r="O75" s="6">
        <v>1</v>
      </c>
      <c r="P75" s="6" t="s">
        <v>29</v>
      </c>
    </row>
    <row r="76" spans="2:16" x14ac:dyDescent="0.35">
      <c r="B76">
        <v>201029</v>
      </c>
      <c r="C76" s="80" t="s">
        <v>100</v>
      </c>
      <c r="D76" s="80"/>
      <c r="E76" s="11">
        <v>1</v>
      </c>
      <c r="F76" s="11">
        <v>4</v>
      </c>
      <c r="G76" s="11">
        <v>2</v>
      </c>
      <c r="H76" s="11" t="s">
        <v>26</v>
      </c>
      <c r="I76" s="4">
        <v>1</v>
      </c>
      <c r="J76" s="4">
        <v>4</v>
      </c>
      <c r="K76" s="4">
        <v>4</v>
      </c>
      <c r="L76" s="5" t="s">
        <v>96</v>
      </c>
      <c r="M76" s="6">
        <v>1</v>
      </c>
      <c r="N76" s="6">
        <v>64</v>
      </c>
      <c r="O76" s="6">
        <v>1</v>
      </c>
      <c r="P76" s="6" t="s">
        <v>29</v>
      </c>
    </row>
    <row r="77" spans="2:16" x14ac:dyDescent="0.35">
      <c r="B77">
        <v>212635</v>
      </c>
      <c r="C77" s="83" t="s">
        <v>101</v>
      </c>
      <c r="D77" s="83"/>
      <c r="E77" s="13">
        <v>1</v>
      </c>
      <c r="F77" s="13">
        <v>3</v>
      </c>
      <c r="G77" s="11">
        <v>3</v>
      </c>
      <c r="H77" s="11" t="s">
        <v>53</v>
      </c>
      <c r="I77" s="14">
        <v>5</v>
      </c>
      <c r="J77" s="14">
        <v>4</v>
      </c>
      <c r="K77" s="4">
        <v>4</v>
      </c>
      <c r="L77" s="5" t="s">
        <v>96</v>
      </c>
      <c r="M77" s="6">
        <v>2</v>
      </c>
      <c r="N77" s="6">
        <v>64</v>
      </c>
      <c r="O77" s="6">
        <v>1</v>
      </c>
      <c r="P77" s="6" t="s">
        <v>29</v>
      </c>
    </row>
    <row r="78" spans="2:16" x14ac:dyDescent="0.35">
      <c r="B78">
        <v>206097</v>
      </c>
      <c r="C78" s="80" t="s">
        <v>102</v>
      </c>
      <c r="D78" s="80"/>
      <c r="E78" s="11">
        <v>0</v>
      </c>
      <c r="F78" s="11">
        <v>0</v>
      </c>
      <c r="G78" s="11">
        <v>0</v>
      </c>
      <c r="H78" s="11"/>
      <c r="I78" s="4">
        <v>1</v>
      </c>
      <c r="J78" s="4">
        <v>20</v>
      </c>
      <c r="K78" s="4">
        <v>0</v>
      </c>
      <c r="L78" s="5"/>
      <c r="M78" s="6">
        <v>0</v>
      </c>
      <c r="N78" s="6">
        <v>0</v>
      </c>
      <c r="O78" s="6">
        <v>0</v>
      </c>
      <c r="P78" s="6"/>
    </row>
    <row r="79" spans="2:16" x14ac:dyDescent="0.35">
      <c r="B79">
        <v>201035</v>
      </c>
      <c r="C79" s="83" t="s">
        <v>103</v>
      </c>
      <c r="D79" s="83"/>
      <c r="E79" s="13">
        <v>2</v>
      </c>
      <c r="F79" s="13">
        <v>4</v>
      </c>
      <c r="G79" s="11">
        <v>3</v>
      </c>
      <c r="H79" s="11" t="s">
        <v>53</v>
      </c>
      <c r="I79" s="14">
        <v>2</v>
      </c>
      <c r="J79" s="14">
        <v>4</v>
      </c>
      <c r="K79" s="4">
        <v>4</v>
      </c>
      <c r="L79" s="5" t="s">
        <v>96</v>
      </c>
      <c r="M79" s="6">
        <v>0</v>
      </c>
      <c r="N79" s="6">
        <v>0</v>
      </c>
      <c r="O79" s="6">
        <v>0</v>
      </c>
      <c r="P79" s="6"/>
    </row>
    <row r="80" spans="2:16" x14ac:dyDescent="0.35">
      <c r="B80">
        <v>201036</v>
      </c>
      <c r="C80" s="80" t="s">
        <v>104</v>
      </c>
      <c r="D80" s="80"/>
      <c r="E80" s="11">
        <v>1</v>
      </c>
      <c r="F80" s="11">
        <v>4</v>
      </c>
      <c r="G80" s="11">
        <v>3</v>
      </c>
      <c r="H80" s="11" t="s">
        <v>53</v>
      </c>
      <c r="I80" s="4">
        <v>3</v>
      </c>
      <c r="J80" s="4">
        <v>4</v>
      </c>
      <c r="K80" s="4">
        <v>4</v>
      </c>
      <c r="L80" s="5" t="s">
        <v>96</v>
      </c>
      <c r="M80" s="6">
        <v>1</v>
      </c>
      <c r="N80" s="6">
        <v>4</v>
      </c>
      <c r="O80" s="6">
        <v>1</v>
      </c>
      <c r="P80" s="6" t="s">
        <v>29</v>
      </c>
    </row>
    <row r="81" spans="2:16" x14ac:dyDescent="0.35">
      <c r="B81">
        <v>201028</v>
      </c>
      <c r="C81" s="83" t="s">
        <v>105</v>
      </c>
      <c r="D81" s="83"/>
      <c r="E81" s="13">
        <v>1</v>
      </c>
      <c r="F81" s="13">
        <v>4</v>
      </c>
      <c r="G81" s="11">
        <v>2</v>
      </c>
      <c r="H81" s="11" t="s">
        <v>26</v>
      </c>
      <c r="I81" s="14">
        <v>1</v>
      </c>
      <c r="J81" s="14">
        <v>4</v>
      </c>
      <c r="K81" s="4">
        <v>4</v>
      </c>
      <c r="L81" s="5" t="s">
        <v>96</v>
      </c>
      <c r="M81" s="6">
        <v>1</v>
      </c>
      <c r="N81" s="6">
        <v>64</v>
      </c>
      <c r="O81" s="6">
        <v>1</v>
      </c>
      <c r="P81" s="6" t="s">
        <v>29</v>
      </c>
    </row>
    <row r="82" spans="2:16" x14ac:dyDescent="0.35">
      <c r="C82" s="80"/>
      <c r="D82" s="80"/>
      <c r="E82" s="11"/>
      <c r="F82" s="11"/>
      <c r="G82" s="11"/>
      <c r="H82" s="11"/>
      <c r="I82" s="4"/>
      <c r="J82" s="4"/>
      <c r="K82" s="4"/>
      <c r="L82" s="5"/>
      <c r="M82" s="6"/>
      <c r="N82" s="6"/>
      <c r="O82" s="6"/>
      <c r="P82" s="6"/>
    </row>
    <row r="83" spans="2:16" x14ac:dyDescent="0.35">
      <c r="C83" s="83"/>
      <c r="D83" s="83"/>
      <c r="E83" s="13"/>
      <c r="F83" s="13"/>
      <c r="G83" s="11"/>
      <c r="H83" s="11"/>
      <c r="I83" s="14"/>
      <c r="J83" s="14"/>
      <c r="K83" s="4"/>
      <c r="L83" s="5"/>
      <c r="M83" s="6"/>
      <c r="N83" s="6"/>
      <c r="O83" s="6"/>
      <c r="P83" s="6"/>
    </row>
    <row r="84" spans="2:16" x14ac:dyDescent="0.35">
      <c r="C84" s="80"/>
      <c r="D84" s="80"/>
      <c r="E84" s="11"/>
      <c r="F84" s="11"/>
      <c r="G84" s="11"/>
      <c r="H84" s="11"/>
      <c r="I84" s="4"/>
      <c r="J84" s="4"/>
      <c r="K84" s="4"/>
      <c r="L84" s="5"/>
      <c r="M84" s="6"/>
      <c r="N84" s="6"/>
      <c r="O84" s="6"/>
      <c r="P84" s="6"/>
    </row>
    <row r="85" spans="2:16" x14ac:dyDescent="0.35">
      <c r="C85" s="83"/>
      <c r="D85" s="83"/>
      <c r="E85" s="13"/>
      <c r="F85" s="13"/>
      <c r="G85" s="11"/>
      <c r="H85" s="11"/>
      <c r="I85" s="14"/>
      <c r="J85" s="14"/>
      <c r="K85" s="4"/>
      <c r="L85" s="5"/>
      <c r="M85" s="6"/>
      <c r="N85" s="6"/>
      <c r="O85" s="6"/>
      <c r="P85" s="6"/>
    </row>
  </sheetData>
  <mergeCells count="78">
    <mergeCell ref="C85:D85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73:D73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61:D61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49:D49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37:D37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25:D25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13:D13"/>
    <mergeCell ref="C8:D8"/>
    <mergeCell ref="C9:D9"/>
    <mergeCell ref="C10:D10"/>
    <mergeCell ref="C11:D11"/>
    <mergeCell ref="C12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9404E84DE2A49BF959195A0FA282C" ma:contentTypeVersion="21" ma:contentTypeDescription="Create a new document." ma:contentTypeScope="" ma:versionID="c318292bdebcafa69711d4bd591bc7de">
  <xsd:schema xmlns:xsd="http://www.w3.org/2001/XMLSchema" xmlns:xs="http://www.w3.org/2001/XMLSchema" xmlns:p="http://schemas.microsoft.com/office/2006/metadata/properties" xmlns:ns1="http://schemas.microsoft.com/sharepoint/v3" xmlns:ns2="2116ceae-041e-43be-a9c3-9e962ae1b5fb" xmlns:ns3="90b2b110-e01d-48f4-83f6-d79717642496" targetNamespace="http://schemas.microsoft.com/office/2006/metadata/properties" ma:root="true" ma:fieldsID="8632a34b32474d331ed86e35877985b7" ns1:_="" ns2:_="" ns3:_="">
    <xsd:import namespace="http://schemas.microsoft.com/sharepoint/v3"/>
    <xsd:import namespace="2116ceae-041e-43be-a9c3-9e962ae1b5fb"/>
    <xsd:import namespace="90b2b110-e01d-48f4-83f6-d797176424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humbnail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6ceae-041e-43be-a9c3-9e962ae1b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c93cd52-0867-4dfe-bc58-01c9c9bb6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humbnail" ma:index="26" nillable="true" ma:displayName="Thumbnail" ma:format="Thumbnail" ma:internalName="Thumbnail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2b110-e01d-48f4-83f6-d797176424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a7ea51a-4720-453b-b8d8-96cb3937645b}" ma:internalName="TaxCatchAll" ma:showField="CatchAllData" ma:web="90b2b110-e01d-48f4-83f6-d797176424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humbnail xmlns="2116ceae-041e-43be-a9c3-9e962ae1b5fb" xsi:nil="true"/>
    <_ip_UnifiedCompliancePolicyUIAction xmlns="http://schemas.microsoft.com/sharepoint/v3" xsi:nil="true"/>
    <TaxCatchAll xmlns="90b2b110-e01d-48f4-83f6-d79717642496" xsi:nil="true"/>
    <_ip_UnifiedCompliancePolicyProperties xmlns="http://schemas.microsoft.com/sharepoint/v3" xsi:nil="true"/>
    <lcf76f155ced4ddcb4097134ff3c332f xmlns="2116ceae-041e-43be-a9c3-9e962ae1b5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315228-834F-436F-9FC1-238EF14C1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16ceae-041e-43be-a9c3-9e962ae1b5fb"/>
    <ds:schemaRef ds:uri="90b2b110-e01d-48f4-83f6-d797176424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1BE5D1-88DD-42FF-B35B-A92038CAD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D57924-1328-484B-A435-49E605E3532E}">
  <ds:schemaRefs>
    <ds:schemaRef ds:uri="http://schemas.microsoft.com/office/2006/metadata/properties"/>
    <ds:schemaRef ds:uri="http://schemas.microsoft.com/office/infopath/2007/PartnerControls"/>
    <ds:schemaRef ds:uri="2116ceae-041e-43be-a9c3-9e962ae1b5fb"/>
    <ds:schemaRef ds:uri="http://schemas.microsoft.com/sharepoint/v3"/>
    <ds:schemaRef ds:uri="90b2b110-e01d-48f4-83f6-d797176424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</vt:lpstr>
      <vt:lpstr>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Richards</dc:creator>
  <cp:keywords/>
  <dc:description/>
  <cp:lastModifiedBy>Salem, Ahmed M</cp:lastModifiedBy>
  <cp:revision/>
  <dcterms:created xsi:type="dcterms:W3CDTF">2026-09-11T22:09:33Z</dcterms:created>
  <dcterms:modified xsi:type="dcterms:W3CDTF">2026-09-19T02:33:32Z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0x0101004459404E84DE2A49BF959195A0FA282C</vt:lpwstr>
  </property>
  <property fmtid="{D5CDD505-2E9C-101B-9397-08002B2CF9AE}" pid="3" name="MediaServiceImageTags">
    <vt:lpwstr/>
  </property>
</Properties>
</file>